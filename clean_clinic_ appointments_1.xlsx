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travishicks/Library/Group Containers/group.com.apple.notes/Accounts/015A9570-B5D4-4D81-9A49-83395F90B69F/Media/F5D4A206-9F76-4B15-AA31-9792602E3BEB/"/>
    </mc:Choice>
  </mc:AlternateContent>
  <xr:revisionPtr revIDLastSave="0" documentId="13_ncr:1_{E3B69A19-4A32-7844-B3E2-C5AB0A54E8F8}" xr6:coauthVersionLast="45" xr6:coauthVersionMax="45" xr10:uidLastSave="{00000000-0000-0000-0000-000000000000}"/>
  <bookViews>
    <workbookView xWindow="13380" yWindow="500" windowWidth="15420" windowHeight="15940" activeTab="1" xr2:uid="{160A552A-F5B4-7742-8081-F1A30AC02B3F}"/>
  </bookViews>
  <sheets>
    <sheet name="Sheet1" sheetId="1" r:id="rId1"/>
    <sheet name="rateofnoshowsperclinic&amp;dept" sheetId="12" r:id="rId2"/>
    <sheet name="patients_per_clinic" sheetId="7" r:id="rId3"/>
  </sheets>
  <definedNames>
    <definedName name="_xlnm._FilterDatabase" localSheetId="0" hidden="1">Sheet1!$C$1:$C$61</definedName>
  </definedNames>
  <calcPr calcId="191029"/>
  <pivotCaches>
    <pivotCache cacheId="8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</calcChain>
</file>

<file path=xl/sharedStrings.xml><?xml version="1.0" encoding="utf-8"?>
<sst xmlns="http://schemas.openxmlformats.org/spreadsheetml/2006/main" count="658" uniqueCount="172">
  <si>
    <t>APT0001</t>
  </si>
  <si>
    <t>PAT0001</t>
  </si>
  <si>
    <t>Female</t>
  </si>
  <si>
    <t>Attended</t>
  </si>
  <si>
    <t>Follow-up</t>
  </si>
  <si>
    <t>Private</t>
  </si>
  <si>
    <t>Online</t>
  </si>
  <si>
    <t>APT0002</t>
  </si>
  <si>
    <t>PAT0002</t>
  </si>
  <si>
    <t>Male</t>
  </si>
  <si>
    <t>Cardiology</t>
  </si>
  <si>
    <t>New</t>
  </si>
  <si>
    <t>Medicare</t>
  </si>
  <si>
    <t>Phone</t>
  </si>
  <si>
    <t>APT0003</t>
  </si>
  <si>
    <t>PAT0003</t>
  </si>
  <si>
    <t>Endocrinology</t>
  </si>
  <si>
    <t>No-Show</t>
  </si>
  <si>
    <t>APT0004</t>
  </si>
  <si>
    <t>PAT0004</t>
  </si>
  <si>
    <t>Pediatrics</t>
  </si>
  <si>
    <t>Walk-in</t>
  </si>
  <si>
    <t>APT0005</t>
  </si>
  <si>
    <t>PAT0005</t>
  </si>
  <si>
    <t>Cancelled</t>
  </si>
  <si>
    <t>Medicaid</t>
  </si>
  <si>
    <t>APT0006</t>
  </si>
  <si>
    <t>PAT0006</t>
  </si>
  <si>
    <t>APT0007</t>
  </si>
  <si>
    <t>PAT0007</t>
  </si>
  <si>
    <t>APT0008</t>
  </si>
  <si>
    <t>PAT0008</t>
  </si>
  <si>
    <t>APT0009</t>
  </si>
  <si>
    <t>PAT0009</t>
  </si>
  <si>
    <t>Other</t>
  </si>
  <si>
    <t>Psychiatry</t>
  </si>
  <si>
    <t>Referral</t>
  </si>
  <si>
    <t>APT0010</t>
  </si>
  <si>
    <t>PAT0010</t>
  </si>
  <si>
    <t>APT0011</t>
  </si>
  <si>
    <t>APT0012</t>
  </si>
  <si>
    <t>PAT0011</t>
  </si>
  <si>
    <t>APT0013</t>
  </si>
  <si>
    <t>PAT0012</t>
  </si>
  <si>
    <t>APT0014</t>
  </si>
  <si>
    <t>PAT0013</t>
  </si>
  <si>
    <t>APT0015</t>
  </si>
  <si>
    <t>PAT0014</t>
  </si>
  <si>
    <t>APT0016</t>
  </si>
  <si>
    <t>PAT0015</t>
  </si>
  <si>
    <t>APT0017</t>
  </si>
  <si>
    <t>PAT0016</t>
  </si>
  <si>
    <t>APT0018</t>
  </si>
  <si>
    <t>PAT0017</t>
  </si>
  <si>
    <t>APT0019</t>
  </si>
  <si>
    <t>PAT0018</t>
  </si>
  <si>
    <t>APT0020</t>
  </si>
  <si>
    <t>PAT0019</t>
  </si>
  <si>
    <t>APT0021</t>
  </si>
  <si>
    <t>PAT0020</t>
  </si>
  <si>
    <t>APT0022</t>
  </si>
  <si>
    <t>APT0023</t>
  </si>
  <si>
    <t>PAT0021</t>
  </si>
  <si>
    <t>APT0024</t>
  </si>
  <si>
    <t>PAT0022</t>
  </si>
  <si>
    <t>APT0025</t>
  </si>
  <si>
    <t>PAT0023</t>
  </si>
  <si>
    <t>APT0026</t>
  </si>
  <si>
    <t>PAT0024</t>
  </si>
  <si>
    <t>APT0027</t>
  </si>
  <si>
    <t>PAT0025</t>
  </si>
  <si>
    <t>APT0028</t>
  </si>
  <si>
    <t>PAT0026</t>
  </si>
  <si>
    <t>APT0029</t>
  </si>
  <si>
    <t>PAT0027</t>
  </si>
  <si>
    <t>APT0030</t>
  </si>
  <si>
    <t>PAT0028</t>
  </si>
  <si>
    <t>APT0031</t>
  </si>
  <si>
    <t>PAT0029</t>
  </si>
  <si>
    <t>APT0032</t>
  </si>
  <si>
    <t>PAT0030</t>
  </si>
  <si>
    <t>APT0033</t>
  </si>
  <si>
    <t>APT0034</t>
  </si>
  <si>
    <t>PAT0031</t>
  </si>
  <si>
    <t>APT0035</t>
  </si>
  <si>
    <t>PAT0032</t>
  </si>
  <si>
    <t>APT0036</t>
  </si>
  <si>
    <t>PAT0033</t>
  </si>
  <si>
    <t>APT0037</t>
  </si>
  <si>
    <t>PAT0034</t>
  </si>
  <si>
    <t>APT0038</t>
  </si>
  <si>
    <t>PAT0035</t>
  </si>
  <si>
    <t>APT0039</t>
  </si>
  <si>
    <t>PAT0036</t>
  </si>
  <si>
    <t>APT0040</t>
  </si>
  <si>
    <t>PAT0037</t>
  </si>
  <si>
    <t>APT0041</t>
  </si>
  <si>
    <t>PAT0038</t>
  </si>
  <si>
    <t>APT0042</t>
  </si>
  <si>
    <t>PAT0039</t>
  </si>
  <si>
    <t>APT0043</t>
  </si>
  <si>
    <t>PAT0040</t>
  </si>
  <si>
    <t>APT0044</t>
  </si>
  <si>
    <t>PAT0041</t>
  </si>
  <si>
    <t>APT0045</t>
  </si>
  <si>
    <t>PAT0042</t>
  </si>
  <si>
    <t>APT0046</t>
  </si>
  <si>
    <t>PAT0043</t>
  </si>
  <si>
    <t>APT0047</t>
  </si>
  <si>
    <t>PAT0044</t>
  </si>
  <si>
    <t>APT0048</t>
  </si>
  <si>
    <t>PAT0045</t>
  </si>
  <si>
    <t>APT0049</t>
  </si>
  <si>
    <t>PAT0046</t>
  </si>
  <si>
    <t>APT0050</t>
  </si>
  <si>
    <t>PAT0047</t>
  </si>
  <si>
    <t>APT0051</t>
  </si>
  <si>
    <t>PAT0048</t>
  </si>
  <si>
    <t>APT0052</t>
  </si>
  <si>
    <t>PAT0049</t>
  </si>
  <si>
    <t>APT0053</t>
  </si>
  <si>
    <t>PAT0050</t>
  </si>
  <si>
    <t>APT0054</t>
  </si>
  <si>
    <t>PAT0051</t>
  </si>
  <si>
    <t>APT0055</t>
  </si>
  <si>
    <t>PAT0052</t>
  </si>
  <si>
    <t>APT0056</t>
  </si>
  <si>
    <t>PAT0053</t>
  </si>
  <si>
    <t>APT0057</t>
  </si>
  <si>
    <t>PAT0054</t>
  </si>
  <si>
    <t>APT0058</t>
  </si>
  <si>
    <t>PAT0055</t>
  </si>
  <si>
    <t>APT0059</t>
  </si>
  <si>
    <t>PAT0056</t>
  </si>
  <si>
    <t>APT0060</t>
  </si>
  <si>
    <t>PAT0057</t>
  </si>
  <si>
    <t>gender</t>
  </si>
  <si>
    <t>clinic</t>
  </si>
  <si>
    <t>department</t>
  </si>
  <si>
    <t>scheduleddate</t>
  </si>
  <si>
    <t>appointmentdate</t>
  </si>
  <si>
    <t>arrivaltime</t>
  </si>
  <si>
    <t>status</t>
  </si>
  <si>
    <t>visittype</t>
  </si>
  <si>
    <t>appointmentlengthmin</t>
  </si>
  <si>
    <t>provider</t>
  </si>
  <si>
    <t>insurance</t>
  </si>
  <si>
    <t>priornoshows</t>
  </si>
  <si>
    <t>numpriorvisits</t>
  </si>
  <si>
    <t>checkinmethod</t>
  </si>
  <si>
    <t>patient_id</t>
  </si>
  <si>
    <t>PatientDOB</t>
  </si>
  <si>
    <t>Count of clinic</t>
  </si>
  <si>
    <t>Row Labels</t>
  </si>
  <si>
    <t>Grand Total</t>
  </si>
  <si>
    <t>Clinic   A</t>
  </si>
  <si>
    <t>General   Medicine</t>
  </si>
  <si>
    <t>Dr.   Smith</t>
  </si>
  <si>
    <t>Clinic   B</t>
  </si>
  <si>
    <t>Dr.   Lee</t>
  </si>
  <si>
    <t>Dr.   Patel</t>
  </si>
  <si>
    <t>Clinic   C</t>
  </si>
  <si>
    <t>Dr.   Gomez</t>
  </si>
  <si>
    <t>Clinic   D</t>
  </si>
  <si>
    <t>Dr.   Johnson</t>
  </si>
  <si>
    <t>N/A</t>
  </si>
  <si>
    <t>Arrived_Flag</t>
  </si>
  <si>
    <t>noshowflag</t>
  </si>
  <si>
    <t>Count of appointments</t>
  </si>
  <si>
    <t>Average of no-show</t>
  </si>
  <si>
    <t>Sum of no-show</t>
  </si>
  <si>
    <t>appointment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</si>
</sst>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theme="1"/>
      <name val="Helvetica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right"/>
    </xf>
    <xf numFmtId="20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20" fontId="3" fillId="0" borderId="0" xfId="0" applyNumberFormat="1" applyFont="1" applyAlignment="1">
      <alignment horizontal="right"/>
    </xf>
    <xf numFmtId="9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22"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5" formatCode="h:mm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5" formatCode="h:mm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mm/d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mm/d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mm/d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[clean_clinic_ appointments_1.xlsx]rateofnoshowsperclinic&amp;dept!PivotTable20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rate of no shows per clinic &amp; dept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'rateofnoshowsperclinic&amp;dept'!$B$3</c:f>
              <c:strCache>
                <c:ptCount val="1"/>
                <c:pt idx="0">
                  <c:v>Count of appointments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'rateofnoshowsperclinic&amp;dept'!$A$4:$A$15</c:f>
              <c:multiLvlStrCache>
                <c:ptCount val="7"/>
                <c:lvl>
                  <c:pt idx="0">
                    <c:v>Endocrinology</c:v>
                  </c:pt>
                  <c:pt idx="1">
                    <c:v>General   Medicine</c:v>
                  </c:pt>
                  <c:pt idx="2">
                    <c:v>Cardiology</c:v>
                  </c:pt>
                  <c:pt idx="3">
                    <c:v>Pediatrics</c:v>
                  </c:pt>
                  <c:pt idx="4">
                    <c:v>Psychiatry</c:v>
                  </c:pt>
                  <c:pt idx="5">
                    <c:v>Endocrinology</c:v>
                  </c:pt>
                  <c:pt idx="6">
                    <c:v>General   Medicine</c:v>
                  </c:pt>
                </c:lvl>
                <c:lvl>
                  <c:pt idx="0">
                    <c:v>Clinic   A</c:v>
                  </c:pt>
                  <c:pt idx="2">
                    <c:v>Clinic   B</c:v>
                  </c:pt>
                  <c:pt idx="3">
                    <c:v>Clinic   C</c:v>
                  </c:pt>
                  <c:pt idx="5">
                    <c:v>Clinic   D</c:v>
                  </c:pt>
                </c:lvl>
              </c:multiLvlStrCache>
            </c:multiLvlStrRef>
          </c:cat>
          <c:val>
            <c:numRef>
              <c:f>'rateofnoshowsperclinic&amp;dept'!$B$4:$B$15</c:f>
              <c:numCache>
                <c:formatCode>General</c:formatCode>
                <c:ptCount val="7"/>
                <c:pt idx="0">
                  <c:v>3</c:v>
                </c:pt>
                <c:pt idx="1">
                  <c:v>15</c:v>
                </c:pt>
                <c:pt idx="2">
                  <c:v>15</c:v>
                </c:pt>
                <c:pt idx="3">
                  <c:v>9</c:v>
                </c:pt>
                <c:pt idx="4">
                  <c:v>5</c:v>
                </c:pt>
                <c:pt idx="5">
                  <c:v>11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E-7046-95FA-E3AB65B10F6E}"/>
            </c:ext>
          </c:extLst>
        </c:ser>
        <c:ser>
          <c:idx val="1"/>
          <c:order val="1"/>
          <c:tx>
            <c:strRef>
              <c:f>'rateofnoshowsperclinic&amp;dept'!$C$3</c:f>
              <c:strCache>
                <c:ptCount val="1"/>
                <c:pt idx="0">
                  <c:v>Average of no-show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'rateofnoshowsperclinic&amp;dept'!$A$4:$A$15</c:f>
              <c:multiLvlStrCache>
                <c:ptCount val="7"/>
                <c:lvl>
                  <c:pt idx="0">
                    <c:v>Endocrinology</c:v>
                  </c:pt>
                  <c:pt idx="1">
                    <c:v>General   Medicine</c:v>
                  </c:pt>
                  <c:pt idx="2">
                    <c:v>Cardiology</c:v>
                  </c:pt>
                  <c:pt idx="3">
                    <c:v>Pediatrics</c:v>
                  </c:pt>
                  <c:pt idx="4">
                    <c:v>Psychiatry</c:v>
                  </c:pt>
                  <c:pt idx="5">
                    <c:v>Endocrinology</c:v>
                  </c:pt>
                  <c:pt idx="6">
                    <c:v>General   Medicine</c:v>
                  </c:pt>
                </c:lvl>
                <c:lvl>
                  <c:pt idx="0">
                    <c:v>Clinic   A</c:v>
                  </c:pt>
                  <c:pt idx="2">
                    <c:v>Clinic   B</c:v>
                  </c:pt>
                  <c:pt idx="3">
                    <c:v>Clinic   C</c:v>
                  </c:pt>
                  <c:pt idx="5">
                    <c:v>Clinic   D</c:v>
                  </c:pt>
                </c:lvl>
              </c:multiLvlStrCache>
            </c:multiLvlStrRef>
          </c:cat>
          <c:val>
            <c:numRef>
              <c:f>'rateofnoshowsperclinic&amp;dept'!$C$4:$C$15</c:f>
              <c:numCache>
                <c:formatCode>0%</c:formatCode>
                <c:ptCount val="7"/>
                <c:pt idx="0">
                  <c:v>0.33333333333333331</c:v>
                </c:pt>
                <c:pt idx="1">
                  <c:v>6.6666666666666666E-2</c:v>
                </c:pt>
                <c:pt idx="2">
                  <c:v>0.13333333333333333</c:v>
                </c:pt>
                <c:pt idx="3">
                  <c:v>0.1111111111111111</c:v>
                </c:pt>
                <c:pt idx="4">
                  <c:v>0.4</c:v>
                </c:pt>
                <c:pt idx="5">
                  <c:v>0.18181818181818182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E-7046-95FA-E3AB65B10F6E}"/>
            </c:ext>
          </c:extLst>
        </c:ser>
        <c:ser>
          <c:idx val="2"/>
          <c:order val="2"/>
          <c:tx>
            <c:strRef>
              <c:f>'rateofnoshowsperclinic&amp;dept'!$D$3</c:f>
              <c:strCache>
                <c:ptCount val="1"/>
                <c:pt idx="0">
                  <c:v>Sum of no-show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'rateofnoshowsperclinic&amp;dept'!$A$4:$A$15</c:f>
              <c:multiLvlStrCache>
                <c:ptCount val="7"/>
                <c:lvl>
                  <c:pt idx="0">
                    <c:v>Endocrinology</c:v>
                  </c:pt>
                  <c:pt idx="1">
                    <c:v>General   Medicine</c:v>
                  </c:pt>
                  <c:pt idx="2">
                    <c:v>Cardiology</c:v>
                  </c:pt>
                  <c:pt idx="3">
                    <c:v>Pediatrics</c:v>
                  </c:pt>
                  <c:pt idx="4">
                    <c:v>Psychiatry</c:v>
                  </c:pt>
                  <c:pt idx="5">
                    <c:v>Endocrinology</c:v>
                  </c:pt>
                  <c:pt idx="6">
                    <c:v>General   Medicine</c:v>
                  </c:pt>
                </c:lvl>
                <c:lvl>
                  <c:pt idx="0">
                    <c:v>Clinic   A</c:v>
                  </c:pt>
                  <c:pt idx="2">
                    <c:v>Clinic   B</c:v>
                  </c:pt>
                  <c:pt idx="3">
                    <c:v>Clinic   C</c:v>
                  </c:pt>
                  <c:pt idx="5">
                    <c:v>Clinic   D</c:v>
                  </c:pt>
                </c:lvl>
              </c:multiLvlStrCache>
            </c:multiLvlStrRef>
          </c:cat>
          <c:val>
            <c:numRef>
              <c:f>'rateofnoshowsperclinic&amp;dept'!$D$4:$D$15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E-7046-95FA-E3AB65B10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3460527"/>
        <c:axId val="1561431103"/>
      </c:barChart>
      <c:catAx>
        <c:axId val="1543460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431103"/>
        <c:crosses val="autoZero"/>
        <c:auto val="1"/>
        <c:lblAlgn val="ctr"/>
        <c:lblOffset val="100"/>
        <c:noMultiLvlLbl val="0"/>
      </c:catAx>
      <c:valAx>
        <c:axId val="156143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6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[clean_clinic_ appointments_1.xlsx]patients_per_clinic!PivotTable13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patients per clinic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patients_per_clinic!$B$3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patients_per_clinic!$A$4:$A$8</c:f>
              <c:strCache>
                <c:ptCount val="4"/>
                <c:pt idx="0">
                  <c:v>Clinic   A</c:v>
                </c:pt>
                <c:pt idx="1">
                  <c:v>Clinic   B</c:v>
                </c:pt>
                <c:pt idx="2">
                  <c:v>Clinic   C</c:v>
                </c:pt>
                <c:pt idx="3">
                  <c:v>Clinic   D</c:v>
                </c:pt>
              </c:strCache>
            </c:strRef>
          </c:cat>
          <c:val>
            <c:numRef>
              <c:f>patients_per_clinic!$B$4:$B$8</c:f>
              <c:numCache>
                <c:formatCode>General</c:formatCode>
                <c:ptCount val="4"/>
                <c:pt idx="0">
                  <c:v>18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E-B645-B20F-C64A99E80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58755</xdr:rowOff>
    </xdr:from>
    <xdr:to>
      <xdr:col>3</xdr:col>
      <xdr:colOff>1385453</xdr:colOff>
      <xdr:row>29</xdr:row>
      <xdr:rowOff>133672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5E727F-B697-C24C-87DF-C03D8EC3A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146050</xdr:rowOff>
    </xdr:from>
    <xdr:to>
      <xdr:col>3</xdr:col>
      <xdr:colOff>736600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B0AEE-70F2-D54C-BABA-07D524A53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13.742934490743" createdVersion="6" refreshedVersion="6" minRefreshableVersion="3" recordCount="60" xr:uid="{99BD30D9-12EE-E145-800B-8C08CD4161D0}">
  <cacheSource type="worksheet">
    <worksheetSource name="Table1"/>
  </cacheSource>
  <cacheFields count="20">
    <cacheField name="appointment_id" numFmtId="0">
      <sharedItems count="60">
        <s v="APT0001"/>
        <s v="APT0002"/>
        <s v="APT0003"/>
        <s v="APT0004"/>
        <s v="APT0005"/>
        <s v="APT0006"/>
        <s v="APT0007"/>
        <s v="APT0008"/>
        <s v="APT0009"/>
        <s v="APT0010"/>
        <s v="APT0011"/>
        <s v="APT0012"/>
        <s v="APT0013"/>
        <s v="APT0014"/>
        <s v="APT0015"/>
        <s v="APT0016"/>
        <s v="APT0017"/>
        <s v="APT0018"/>
        <s v="APT0019"/>
        <s v="APT0020"/>
        <s v="APT0021"/>
        <s v="APT0022"/>
        <s v="APT0023"/>
        <s v="APT0024"/>
        <s v="APT0025"/>
        <s v="APT0026"/>
        <s v="APT0027"/>
        <s v="APT0028"/>
        <s v="APT0029"/>
        <s v="APT0030"/>
        <s v="APT0031"/>
        <s v="APT0032"/>
        <s v="APT0033"/>
        <s v="APT0034"/>
        <s v="APT0035"/>
        <s v="APT0036"/>
        <s v="APT0037"/>
        <s v="APT0038"/>
        <s v="APT0039"/>
        <s v="APT0040"/>
        <s v="APT0041"/>
        <s v="APT0042"/>
        <s v="APT0043"/>
        <s v="APT0044"/>
        <s v="APT0045"/>
        <s v="APT0046"/>
        <s v="APT0047"/>
        <s v="APT0048"/>
        <s v="APT0049"/>
        <s v="APT0050"/>
        <s v="APT0051"/>
        <s v="APT0052"/>
        <s v="APT0053"/>
        <s v="APT0054"/>
        <s v="APT0055"/>
        <s v="APT0056"/>
        <s v="APT0057"/>
        <s v="APT0058"/>
        <s v="APT0059"/>
        <s v="APT0060"/>
      </sharedItems>
    </cacheField>
    <cacheField name="patient_id" numFmtId="0">
      <sharedItems/>
    </cacheField>
    <cacheField name="PatientDOB" numFmtId="164">
      <sharedItems containsSemiMixedTypes="0" containsNonDate="0" containsDate="1" containsString="0" minDate="1949-05-01T00:00:00" maxDate="2016-05-21T00:00:00"/>
    </cacheField>
    <cacheField name="gender" numFmtId="0">
      <sharedItems/>
    </cacheField>
    <cacheField name="clinic" numFmtId="0">
      <sharedItems count="4">
        <s v="Clinic   A"/>
        <s v="Clinic   B"/>
        <s v="Clinic   C"/>
        <s v="Clinic   D"/>
      </sharedItems>
    </cacheField>
    <cacheField name="department" numFmtId="0">
      <sharedItems count="5">
        <s v="General   Medicine"/>
        <s v="Cardiology"/>
        <s v="Endocrinology"/>
        <s v="Pediatrics"/>
        <s v="Psychiatry"/>
      </sharedItems>
    </cacheField>
    <cacheField name="scheduleddate" numFmtId="164">
      <sharedItems containsSemiMixedTypes="0" containsNonDate="0" containsDate="1" containsString="0" minDate="2025-01-07T00:00:00" maxDate="2025-04-16T00:00:00"/>
    </cacheField>
    <cacheField name="appointmentdate" numFmtId="164">
      <sharedItems containsSemiMixedTypes="0" containsNonDate="0" containsDate="1" containsString="0" minDate="2025-01-07T00:00:00" maxDate="2025-04-16T00:00:00"/>
    </cacheField>
    <cacheField name="arrivaltime" numFmtId="0">
      <sharedItems containsDate="1" containsMixedTypes="1" minDate="1899-12-30T08:30:00" maxDate="1899-12-30T15:00:00"/>
    </cacheField>
    <cacheField name="Arrived_Flag" numFmtId="20">
      <sharedItems/>
    </cacheField>
    <cacheField name="status" numFmtId="0">
      <sharedItems/>
    </cacheField>
    <cacheField name="noshowflag" numFmtId="0">
      <sharedItems containsSemiMixedTypes="0" containsString="0" containsNumber="1" containsInteger="1" minValue="0" maxValue="1" count="2">
        <n v="0"/>
        <n v="1"/>
      </sharedItems>
    </cacheField>
    <cacheField name="visittype" numFmtId="0">
      <sharedItems/>
    </cacheField>
    <cacheField name="appointmentlengthmin" numFmtId="0">
      <sharedItems containsSemiMixedTypes="0" containsString="0" containsNumber="1" containsInteger="1" minValue="15" maxValue="60"/>
    </cacheField>
    <cacheField name="provider" numFmtId="0">
      <sharedItems/>
    </cacheField>
    <cacheField name="insurance" numFmtId="0">
      <sharedItems/>
    </cacheField>
    <cacheField name="priornoshows" numFmtId="0">
      <sharedItems containsSemiMixedTypes="0" containsString="0" containsNumber="1" containsInteger="1" minValue="0" maxValue="4"/>
    </cacheField>
    <cacheField name="numpriorvisits" numFmtId="0">
      <sharedItems containsSemiMixedTypes="0" containsString="0" containsNumber="1" containsInteger="1" minValue="0" maxValue="25"/>
    </cacheField>
    <cacheField name="checkinmethod" numFmtId="0">
      <sharedItems/>
    </cacheField>
    <cacheField name="Field1" numFmtId="0" formula="noshowflag/appointment_i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PAT0001"/>
    <d v="1982-06-14T00:00:00"/>
    <s v="Female"/>
    <x v="0"/>
    <x v="0"/>
    <d v="2025-01-07T00:00:00"/>
    <d v="2025-01-07T00:00:00"/>
    <d v="1899-12-30T08:55:00"/>
    <s v="Yes"/>
    <s v="Attended"/>
    <x v="0"/>
    <s v="Follow-up"/>
    <n v="30"/>
    <s v="Dr.   Smith"/>
    <s v="Private"/>
    <n v="0"/>
    <n v="5"/>
    <s v="Online"/>
  </r>
  <r>
    <x v="1"/>
    <s v="PAT0002"/>
    <d v="1955-11-30T00:00:00"/>
    <s v="Male"/>
    <x v="1"/>
    <x v="1"/>
    <d v="2025-01-08T00:00:00"/>
    <d v="2025-01-08T00:00:00"/>
    <d v="1899-12-30T09:10:00"/>
    <s v="Yes"/>
    <s v="Attended"/>
    <x v="0"/>
    <s v="New"/>
    <n v="60"/>
    <s v="Dr.   Lee"/>
    <s v="Medicare"/>
    <n v="1"/>
    <n v="2"/>
    <s v="Phone"/>
  </r>
  <r>
    <x v="2"/>
    <s v="PAT0003"/>
    <d v="1998-03-22T00:00:00"/>
    <s v="Female"/>
    <x v="0"/>
    <x v="2"/>
    <d v="2025-01-09T00:00:00"/>
    <d v="2025-01-09T00:00:00"/>
    <s v="N/A"/>
    <s v="No"/>
    <s v="No-Show"/>
    <x v="1"/>
    <s v="Follow-up"/>
    <n v="30"/>
    <s v="Dr.   Patel"/>
    <s v="Private"/>
    <n v="2"/>
    <n v="4"/>
    <s v="Online"/>
  </r>
  <r>
    <x v="3"/>
    <s v="PAT0004"/>
    <d v="2012-09-05T00:00:00"/>
    <s v="Female"/>
    <x v="2"/>
    <x v="3"/>
    <d v="2025-01-10T00:00:00"/>
    <d v="2025-01-10T00:00:00"/>
    <d v="1899-12-30T10:05:00"/>
    <s v="Yes"/>
    <s v="Attended"/>
    <x v="0"/>
    <s v="New"/>
    <n v="30"/>
    <s v="Dr.   Gomez"/>
    <s v="Private"/>
    <n v="0"/>
    <n v="1"/>
    <s v="Walk-in"/>
  </r>
  <r>
    <x v="4"/>
    <s v="PAT0005"/>
    <d v="1970-02-17T00:00:00"/>
    <s v="Male"/>
    <x v="3"/>
    <x v="0"/>
    <d v="2025-01-10T00:00:00"/>
    <d v="2025-01-10T00:00:00"/>
    <s v="N/A"/>
    <s v="No"/>
    <s v="Cancelled"/>
    <x v="0"/>
    <s v="Follow-up"/>
    <n v="15"/>
    <s v="Dr.   Johnson"/>
    <s v="Medicaid"/>
    <n v="0"/>
    <n v="8"/>
    <s v="Phone"/>
  </r>
  <r>
    <x v="5"/>
    <s v="PAT0006"/>
    <d v="1964-12-02T00:00:00"/>
    <s v="Male"/>
    <x v="1"/>
    <x v="1"/>
    <d v="2025-01-11T00:00:00"/>
    <d v="2025-01-11T00:00:00"/>
    <d v="1899-12-30T11:20:00"/>
    <s v="Yes"/>
    <s v="Attended"/>
    <x v="0"/>
    <s v="Follow-up"/>
    <n v="45"/>
    <s v="Dr.   Lee"/>
    <s v="Medicare"/>
    <n v="1"/>
    <n v="10"/>
    <s v="Online"/>
  </r>
  <r>
    <x v="6"/>
    <s v="PAT0007"/>
    <d v="1988-07-19T00:00:00"/>
    <s v="Female"/>
    <x v="0"/>
    <x v="0"/>
    <d v="2025-01-12T00:00:00"/>
    <d v="2025-01-12T00:00:00"/>
    <d v="1899-12-30T13:00:00"/>
    <s v="Yes"/>
    <s v="Attended"/>
    <x v="0"/>
    <s v="New"/>
    <n v="30"/>
    <s v="Dr.   Smith"/>
    <s v="Private"/>
    <n v="0"/>
    <n v="3"/>
    <s v="Online"/>
  </r>
  <r>
    <x v="7"/>
    <s v="PAT0008"/>
    <d v="1949-05-01T00:00:00"/>
    <s v="Male"/>
    <x v="1"/>
    <x v="1"/>
    <d v="2025-01-12T00:00:00"/>
    <d v="2025-01-12T00:00:00"/>
    <s v="N/A"/>
    <s v="No"/>
    <s v="No-Show"/>
    <x v="1"/>
    <s v="Follow-up"/>
    <n v="30"/>
    <s v="Dr.   Lee"/>
    <s v="Medicare"/>
    <n v="3"/>
    <n v="12"/>
    <s v="Phone"/>
  </r>
  <r>
    <x v="8"/>
    <s v="PAT0009"/>
    <d v="1992-10-28T00:00:00"/>
    <s v="Other"/>
    <x v="2"/>
    <x v="4"/>
    <d v="2025-01-13T00:00:00"/>
    <d v="2025-01-14T00:00:00"/>
    <d v="1899-12-30T09:40:00"/>
    <s v="Yes"/>
    <s v="Attended"/>
    <x v="0"/>
    <s v="New"/>
    <n v="45"/>
    <s v="Dr.   Gomez"/>
    <s v="Private"/>
    <n v="0"/>
    <n v="0"/>
    <s v="Referral"/>
  </r>
  <r>
    <x v="9"/>
    <s v="PAT0010"/>
    <d v="1980-04-03T00:00:00"/>
    <s v="Female"/>
    <x v="3"/>
    <x v="2"/>
    <d v="2025-01-14T00:00:00"/>
    <d v="2025-01-14T00:00:00"/>
    <d v="1899-12-30T14:15:00"/>
    <s v="Yes"/>
    <s v="Attended"/>
    <x v="0"/>
    <s v="Follow-up"/>
    <n v="30"/>
    <s v="Dr.   Patel"/>
    <s v="Private"/>
    <n v="1"/>
    <n v="6"/>
    <s v="Online"/>
  </r>
  <r>
    <x v="10"/>
    <s v="PAT0001"/>
    <d v="1982-06-14T00:00:00"/>
    <s v="Female"/>
    <x v="0"/>
    <x v="0"/>
    <d v="2025-02-05T00:00:00"/>
    <d v="2025-02-05T00:00:00"/>
    <d v="1899-12-30T09:05:00"/>
    <s v="Yes"/>
    <s v="Attended"/>
    <x v="0"/>
    <s v="Follow-up"/>
    <n v="15"/>
    <s v="Dr.   Smith"/>
    <s v="Private"/>
    <n v="0"/>
    <n v="6"/>
    <s v="Online"/>
  </r>
  <r>
    <x v="11"/>
    <s v="PAT0011"/>
    <d v="1950-08-20T00:00:00"/>
    <s v="Male"/>
    <x v="1"/>
    <x v="1"/>
    <d v="2025-02-06T00:00:00"/>
    <d v="2025-02-06T00:00:00"/>
    <s v="N/A"/>
    <s v="No"/>
    <s v="Cancelled"/>
    <x v="0"/>
    <s v="New"/>
    <n v="60"/>
    <s v="Dr.   Lee"/>
    <s v="Medicare"/>
    <n v="0"/>
    <n v="0"/>
    <s v="Phone"/>
  </r>
  <r>
    <x v="12"/>
    <s v="PAT0012"/>
    <d v="2005-12-11T00:00:00"/>
    <s v="Female"/>
    <x v="2"/>
    <x v="3"/>
    <d v="2025-02-07T00:00:00"/>
    <d v="2025-02-07T00:00:00"/>
    <d v="1899-12-30T10:30:00"/>
    <s v="Yes"/>
    <s v="Attended"/>
    <x v="0"/>
    <s v="Follow-up"/>
    <n v="15"/>
    <s v="Dr.   Gomez"/>
    <s v="Private"/>
    <n v="0"/>
    <n v="2"/>
    <s v="Walk-in"/>
  </r>
  <r>
    <x v="13"/>
    <s v="PAT0013"/>
    <d v="1995-01-15T00:00:00"/>
    <s v="Female"/>
    <x v="0"/>
    <x v="0"/>
    <d v="2025-02-08T00:00:00"/>
    <d v="2025-02-08T00:00:00"/>
    <d v="1899-12-30T08:50:00"/>
    <s v="Yes"/>
    <s v="Attended"/>
    <x v="0"/>
    <s v="New"/>
    <n v="30"/>
    <s v="Dr.   Smith"/>
    <s v="Private"/>
    <n v="1"/>
    <n v="1"/>
    <s v="Online"/>
  </r>
  <r>
    <x v="14"/>
    <s v="PAT0014"/>
    <d v="1978-09-02T00:00:00"/>
    <s v="Male"/>
    <x v="3"/>
    <x v="2"/>
    <d v="2025-02-09T00:00:00"/>
    <d v="2025-02-09T00:00:00"/>
    <s v="N/A"/>
    <s v="No"/>
    <s v="No-Show"/>
    <x v="1"/>
    <s v="Follow-up"/>
    <n v="30"/>
    <s v="Dr.   Patel"/>
    <s v="Private"/>
    <n v="0"/>
    <n v="7"/>
    <s v="Phone"/>
  </r>
  <r>
    <x v="15"/>
    <s v="PAT0015"/>
    <d v="1961-03-25T00:00:00"/>
    <s v="Female"/>
    <x v="1"/>
    <x v="1"/>
    <d v="2025-02-10T00:00:00"/>
    <d v="2025-02-10T00:00:00"/>
    <d v="1899-12-30T11:05:00"/>
    <s v="Yes"/>
    <s v="Attended"/>
    <x v="0"/>
    <s v="Follow-up"/>
    <n v="45"/>
    <s v="Dr.   Lee"/>
    <s v="Medicare"/>
    <n v="2"/>
    <n v="15"/>
    <s v="Phone"/>
  </r>
  <r>
    <x v="16"/>
    <s v="PAT0016"/>
    <d v="1986-11-11T00:00:00"/>
    <s v="Male"/>
    <x v="0"/>
    <x v="0"/>
    <d v="2025-02-11T00:00:00"/>
    <d v="2025-02-11T00:00:00"/>
    <d v="1899-12-30T12:20:00"/>
    <s v="Yes"/>
    <s v="Attended"/>
    <x v="0"/>
    <s v="New"/>
    <n v="30"/>
    <s v="Dr.   Smith"/>
    <s v="Private"/>
    <n v="0"/>
    <n v="2"/>
    <s v="Online"/>
  </r>
  <r>
    <x v="17"/>
    <s v="PAT0017"/>
    <d v="1990-06-30T00:00:00"/>
    <s v="Female"/>
    <x v="2"/>
    <x v="4"/>
    <d v="2025-02-12T00:00:00"/>
    <d v="2025-02-12T00:00:00"/>
    <s v="N/A"/>
    <s v="No"/>
    <s v="Cancelled"/>
    <x v="0"/>
    <s v="New"/>
    <n v="45"/>
    <s v="Dr.   Gomez"/>
    <s v="Private"/>
    <n v="0"/>
    <n v="1"/>
    <s v="Referral"/>
  </r>
  <r>
    <x v="18"/>
    <s v="PAT0018"/>
    <d v="2002-04-18T00:00:00"/>
    <s v="Male"/>
    <x v="3"/>
    <x v="0"/>
    <d v="2025-02-12T00:00:00"/>
    <d v="2025-02-12T00:00:00"/>
    <d v="1899-12-30T15:00:00"/>
    <s v="Yes"/>
    <s v="Attended"/>
    <x v="0"/>
    <s v="Follow-up"/>
    <n v="15"/>
    <s v="Dr.   Johnson"/>
    <s v="Private"/>
    <n v="1"/>
    <n v="3"/>
    <s v="Online"/>
  </r>
  <r>
    <x v="19"/>
    <s v="PAT0019"/>
    <d v="1975-07-07T00:00:00"/>
    <s v="Female"/>
    <x v="0"/>
    <x v="2"/>
    <d v="2025-02-13T00:00:00"/>
    <d v="2025-02-13T00:00:00"/>
    <d v="1899-12-30T09:45:00"/>
    <s v="Yes"/>
    <s v="Attended"/>
    <x v="0"/>
    <s v="New"/>
    <n v="30"/>
    <s v="Dr.   Patel"/>
    <s v="Private"/>
    <n v="0"/>
    <n v="4"/>
    <s v="Phone"/>
  </r>
  <r>
    <x v="20"/>
    <s v="PAT0020"/>
    <d v="1989-08-29T00:00:00"/>
    <s v="Male"/>
    <x v="1"/>
    <x v="1"/>
    <d v="2025-03-01T00:00:00"/>
    <d v="2025-03-01T00:00:00"/>
    <d v="1899-12-30T10:00:00"/>
    <s v="Yes"/>
    <s v="Attended"/>
    <x v="0"/>
    <s v="New"/>
    <n v="60"/>
    <s v="Dr.   Lee"/>
    <s v="Private"/>
    <n v="0"/>
    <n v="1"/>
    <s v="Online"/>
  </r>
  <r>
    <x v="21"/>
    <s v="PAT0014"/>
    <d v="1978-09-02T00:00:00"/>
    <s v="Male"/>
    <x v="3"/>
    <x v="2"/>
    <d v="2025-03-02T00:00:00"/>
    <d v="2025-03-02T00:00:00"/>
    <d v="1899-12-30T14:00:00"/>
    <s v="Yes"/>
    <s v="Attended"/>
    <x v="0"/>
    <s v="Follow-up"/>
    <n v="30"/>
    <s v="Dr.   Patel"/>
    <s v="Private"/>
    <n v="1"/>
    <n v="8"/>
    <s v="Phone"/>
  </r>
  <r>
    <x v="22"/>
    <s v="PAT0021"/>
    <d v="2016-05-20T00:00:00"/>
    <s v="Female"/>
    <x v="2"/>
    <x v="3"/>
    <d v="2025-03-03T00:00:00"/>
    <d v="2025-03-03T00:00:00"/>
    <s v="N/A"/>
    <s v="No"/>
    <s v="No-Show"/>
    <x v="1"/>
    <s v="New"/>
    <n v="15"/>
    <s v="Dr.   Gomez"/>
    <s v="Medicaid"/>
    <n v="0"/>
    <n v="0"/>
    <s v="Walk-in"/>
  </r>
  <r>
    <x v="23"/>
    <s v="PAT0022"/>
    <d v="1968-01-02T00:00:00"/>
    <s v="Female"/>
    <x v="0"/>
    <x v="0"/>
    <d v="2025-03-04T00:00:00"/>
    <d v="2025-03-04T00:00:00"/>
    <d v="1899-12-30T08:30:00"/>
    <s v="Yes"/>
    <s v="Attended"/>
    <x v="0"/>
    <s v="Follow-up"/>
    <n v="30"/>
    <s v="Dr.   Smith"/>
    <s v="Medicare"/>
    <n v="2"/>
    <n v="9"/>
    <s v="Phone"/>
  </r>
  <r>
    <x v="24"/>
    <s v="PAT0023"/>
    <d v="1993-02-14T00:00:00"/>
    <s v="Male"/>
    <x v="1"/>
    <x v="1"/>
    <d v="2025-03-05T00:00:00"/>
    <d v="2025-03-06T00:00:00"/>
    <d v="1899-12-30T11:40:00"/>
    <s v="Yes"/>
    <s v="Attended"/>
    <x v="0"/>
    <s v="New"/>
    <n v="45"/>
    <s v="Dr.   Lee"/>
    <s v="Private"/>
    <n v="0"/>
    <n v="0"/>
    <s v="Online"/>
  </r>
  <r>
    <x v="25"/>
    <s v="PAT0024"/>
    <d v="2008-10-09T00:00:00"/>
    <s v="Female"/>
    <x v="2"/>
    <x v="3"/>
    <d v="2025-03-06T00:00:00"/>
    <d v="2025-03-06T00:00:00"/>
    <d v="1899-12-30T10:10:00"/>
    <s v="Yes"/>
    <s v="Attended"/>
    <x v="0"/>
    <s v="New"/>
    <n v="15"/>
    <s v="Dr.   Gomez"/>
    <s v="Private"/>
    <n v="0"/>
    <n v="1"/>
    <s v="Walk-in"/>
  </r>
  <r>
    <x v="26"/>
    <s v="PAT0025"/>
    <d v="1984-12-25T00:00:00"/>
    <s v="Male"/>
    <x v="0"/>
    <x v="0"/>
    <d v="2025-03-07T00:00:00"/>
    <d v="2025-03-07T00:00:00"/>
    <s v="N/A"/>
    <s v="No"/>
    <s v="Cancelled"/>
    <x v="0"/>
    <s v="Follow-up"/>
    <n v="30"/>
    <s v="Dr.   Smith"/>
    <s v="Private"/>
    <n v="1"/>
    <n v="4"/>
    <s v="Phone"/>
  </r>
  <r>
    <x v="27"/>
    <s v="PAT0026"/>
    <d v="1972-04-16T00:00:00"/>
    <s v="Female"/>
    <x v="3"/>
    <x v="2"/>
    <d v="2025-03-08T00:00:00"/>
    <d v="2025-03-08T00:00:00"/>
    <d v="1899-12-30T13:25:00"/>
    <s v="Yes"/>
    <s v="Attended"/>
    <x v="0"/>
    <s v="New"/>
    <n v="30"/>
    <s v="Dr.   Patel"/>
    <s v="Medicaid"/>
    <n v="0"/>
    <n v="5"/>
    <s v="Online"/>
  </r>
  <r>
    <x v="28"/>
    <s v="PAT0027"/>
    <d v="1959-09-09T00:00:00"/>
    <s v="Male"/>
    <x v="1"/>
    <x v="1"/>
    <d v="2025-03-09T00:00:00"/>
    <d v="2025-03-09T00:00:00"/>
    <d v="1899-12-30T09:55:00"/>
    <s v="Yes"/>
    <s v="Attended"/>
    <x v="0"/>
    <s v="Follow-up"/>
    <n v="60"/>
    <s v="Dr.   Lee"/>
    <s v="Medicare"/>
    <n v="4"/>
    <n v="20"/>
    <s v="Phone"/>
  </r>
  <r>
    <x v="29"/>
    <s v="PAT0028"/>
    <d v="1999-11-30T00:00:00"/>
    <s v="Female"/>
    <x v="2"/>
    <x v="4"/>
    <d v="2025-03-10T00:00:00"/>
    <d v="2025-03-10T00:00:00"/>
    <s v="N/A"/>
    <s v="No"/>
    <s v="No-Show"/>
    <x v="1"/>
    <s v="New"/>
    <n v="45"/>
    <s v="Dr.   Gomez"/>
    <s v="Private"/>
    <n v="1"/>
    <n v="2"/>
    <s v="Referral"/>
  </r>
  <r>
    <x v="30"/>
    <s v="PAT0029"/>
    <d v="1987-05-05T00:00:00"/>
    <s v="Male"/>
    <x v="0"/>
    <x v="0"/>
    <d v="2025-03-15T00:00:00"/>
    <d v="2025-03-15T00:00:00"/>
    <d v="1899-12-30T08:40:00"/>
    <s v="Yes"/>
    <s v="Attended"/>
    <x v="0"/>
    <s v="New"/>
    <n v="30"/>
    <s v="Dr.   Smith"/>
    <s v="Private"/>
    <n v="0"/>
    <n v="2"/>
    <s v="Online"/>
  </r>
  <r>
    <x v="31"/>
    <s v="PAT0030"/>
    <d v="2000-01-20T00:00:00"/>
    <s v="Female"/>
    <x v="3"/>
    <x v="2"/>
    <d v="2025-03-16T00:00:00"/>
    <d v="2025-03-16T00:00:00"/>
    <d v="1899-12-30T14:05:00"/>
    <s v="Yes"/>
    <s v="Attended"/>
    <x v="0"/>
    <s v="Follow-up"/>
    <n v="30"/>
    <s v="Dr.   Patel"/>
    <s v="Private"/>
    <n v="0"/>
    <n v="1"/>
    <s v="Phone"/>
  </r>
  <r>
    <x v="32"/>
    <s v="PAT0003"/>
    <d v="1998-03-22T00:00:00"/>
    <s v="Female"/>
    <x v="0"/>
    <x v="2"/>
    <d v="2025-03-17T00:00:00"/>
    <d v="2025-03-17T00:00:00"/>
    <d v="1899-12-30T09:00:00"/>
    <s v="Yes"/>
    <s v="Attended"/>
    <x v="0"/>
    <s v="Follow-up"/>
    <n v="30"/>
    <s v="Dr.   Patel"/>
    <s v="Private"/>
    <n v="2"/>
    <n v="5"/>
    <s v="Online"/>
  </r>
  <r>
    <x v="33"/>
    <s v="PAT0031"/>
    <d v="1958-02-28T00:00:00"/>
    <s v="Male"/>
    <x v="1"/>
    <x v="1"/>
    <d v="2025-03-18T00:00:00"/>
    <d v="2025-03-18T00:00:00"/>
    <s v="N/A"/>
    <s v="No"/>
    <s v="No-Show"/>
    <x v="1"/>
    <s v="New"/>
    <n v="60"/>
    <s v="Dr.   Lee"/>
    <s v="Medicare"/>
    <n v="3"/>
    <n v="18"/>
    <s v="Phone"/>
  </r>
  <r>
    <x v="34"/>
    <s v="PAT0032"/>
    <d v="2014-07-14T00:00:00"/>
    <s v="Female"/>
    <x v="2"/>
    <x v="3"/>
    <d v="2025-03-19T00:00:00"/>
    <d v="2025-03-19T00:00:00"/>
    <d v="1899-12-30T10:15:00"/>
    <s v="Yes"/>
    <s v="Attended"/>
    <x v="0"/>
    <s v="New"/>
    <n v="15"/>
    <s v="Dr.   Gomez"/>
    <s v="Medicaid"/>
    <n v="0"/>
    <n v="0"/>
    <s v="Walk-in"/>
  </r>
  <r>
    <x v="35"/>
    <s v="PAT0033"/>
    <d v="1991-12-01T00:00:00"/>
    <s v="Male"/>
    <x v="0"/>
    <x v="0"/>
    <d v="2025-03-20T00:00:00"/>
    <d v="2025-03-20T00:00:00"/>
    <d v="1899-12-30T12:00:00"/>
    <s v="Yes"/>
    <s v="Attended"/>
    <x v="0"/>
    <s v="Follow-up"/>
    <n v="30"/>
    <s v="Dr.   Smith"/>
    <s v="Private"/>
    <n v="0"/>
    <n v="3"/>
    <s v="Online"/>
  </r>
  <r>
    <x v="36"/>
    <s v="PAT0034"/>
    <d v="1976-06-06T00:00:00"/>
    <s v="Female"/>
    <x v="3"/>
    <x v="2"/>
    <d v="2025-03-21T00:00:00"/>
    <d v="2025-03-21T00:00:00"/>
    <s v="N/A"/>
    <s v="No"/>
    <s v="Cancelled"/>
    <x v="0"/>
    <s v="New"/>
    <n v="30"/>
    <s v="Dr.   Patel"/>
    <s v="Private"/>
    <n v="0"/>
    <n v="2"/>
    <s v="Phone"/>
  </r>
  <r>
    <x v="37"/>
    <s v="PAT0035"/>
    <d v="1983-10-10T00:00:00"/>
    <s v="Male"/>
    <x v="1"/>
    <x v="1"/>
    <d v="2025-03-22T00:00:00"/>
    <d v="2025-03-22T00:00:00"/>
    <d v="1899-12-30T09:30:00"/>
    <s v="Yes"/>
    <s v="Attended"/>
    <x v="0"/>
    <s v="Follow-up"/>
    <n v="45"/>
    <s v="Dr.   Lee"/>
    <s v="Private"/>
    <n v="1"/>
    <n v="6"/>
    <s v="Phone"/>
  </r>
  <r>
    <x v="38"/>
    <s v="PAT0036"/>
    <d v="1996-08-08T00:00:00"/>
    <s v="Female"/>
    <x v="2"/>
    <x v="4"/>
    <d v="2025-03-23T00:00:00"/>
    <d v="2025-03-23T00:00:00"/>
    <d v="1899-12-30T11:10:00"/>
    <s v="Yes"/>
    <s v="Attended"/>
    <x v="0"/>
    <s v="New"/>
    <n v="45"/>
    <s v="Dr.   Gomez"/>
    <s v="Private"/>
    <n v="0"/>
    <n v="1"/>
    <s v="Referral"/>
  </r>
  <r>
    <x v="39"/>
    <s v="PAT0037"/>
    <d v="1953-03-03T00:00:00"/>
    <s v="Male"/>
    <x v="0"/>
    <x v="0"/>
    <d v="2025-03-24T00:00:00"/>
    <d v="2025-03-24T00:00:00"/>
    <d v="1899-12-30T08:50:00"/>
    <s v="Yes"/>
    <s v="Attended"/>
    <x v="0"/>
    <s v="Follow-up"/>
    <n v="30"/>
    <s v="Dr.   Smith"/>
    <s v="Medicare"/>
    <n v="2"/>
    <n v="22"/>
    <s v="Phone"/>
  </r>
  <r>
    <x v="40"/>
    <s v="PAT0038"/>
    <d v="2003-11-11T00:00:00"/>
    <s v="Female"/>
    <x v="3"/>
    <x v="2"/>
    <d v="2025-03-25T00:00:00"/>
    <d v="2025-03-25T00:00:00"/>
    <s v="N/A"/>
    <s v="No"/>
    <s v="No-Show"/>
    <x v="1"/>
    <s v="New"/>
    <n v="30"/>
    <s v="Dr.   Patel"/>
    <s v="Private"/>
    <n v="0"/>
    <n v="0"/>
    <s v="Online"/>
  </r>
  <r>
    <x v="41"/>
    <s v="PAT0039"/>
    <d v="1985-01-01T00:00:00"/>
    <s v="Male"/>
    <x v="1"/>
    <x v="1"/>
    <d v="2025-03-26T00:00:00"/>
    <d v="2025-03-26T00:00:00"/>
    <d v="1899-12-30T10:45:00"/>
    <s v="Yes"/>
    <s v="Attended"/>
    <x v="0"/>
    <s v="New"/>
    <n v="60"/>
    <s v="Dr.   Lee"/>
    <s v="Private"/>
    <n v="0"/>
    <n v="3"/>
    <s v="Phone"/>
  </r>
  <r>
    <x v="42"/>
    <s v="PAT0040"/>
    <d v="1994-04-04T00:00:00"/>
    <s v="Female"/>
    <x v="2"/>
    <x v="3"/>
    <d v="2025-03-27T00:00:00"/>
    <d v="2025-03-27T00:00:00"/>
    <d v="1899-12-30T10:05:00"/>
    <s v="Yes"/>
    <s v="Attended"/>
    <x v="0"/>
    <s v="Follow-up"/>
    <n v="15"/>
    <s v="Dr.   Gomez"/>
    <s v="Private"/>
    <n v="0"/>
    <n v="2"/>
    <s v="Walk-in"/>
  </r>
  <r>
    <x v="43"/>
    <s v="PAT0041"/>
    <d v="1966-12-12T00:00:00"/>
    <s v="Female"/>
    <x v="0"/>
    <x v="0"/>
    <d v="2025-03-28T00:00:00"/>
    <d v="2025-03-28T00:00:00"/>
    <s v="N/A"/>
    <s v="No"/>
    <s v="Cancelled"/>
    <x v="0"/>
    <s v="Follow-up"/>
    <n v="30"/>
    <s v="Dr.   Smith"/>
    <s v="Medicare"/>
    <n v="1"/>
    <n v="11"/>
    <s v="Phone"/>
  </r>
  <r>
    <x v="44"/>
    <s v="PAT0042"/>
    <d v="1979-09-19T00:00:00"/>
    <s v="Male"/>
    <x v="3"/>
    <x v="2"/>
    <d v="2025-03-29T00:00:00"/>
    <d v="2025-03-29T00:00:00"/>
    <d v="1899-12-30T13:40:00"/>
    <s v="Yes"/>
    <s v="Attended"/>
    <x v="0"/>
    <s v="New"/>
    <n v="30"/>
    <s v="Dr.   Patel"/>
    <s v="Private"/>
    <n v="0"/>
    <n v="4"/>
    <s v="Online"/>
  </r>
  <r>
    <x v="45"/>
    <s v="PAT0043"/>
    <d v="1997-02-02T00:00:00"/>
    <s v="Female"/>
    <x v="1"/>
    <x v="1"/>
    <d v="2025-03-30T00:00:00"/>
    <d v="2025-03-30T00:00:00"/>
    <d v="1899-12-30T09:20:00"/>
    <s v="Yes"/>
    <s v="Attended"/>
    <x v="0"/>
    <s v="Follow-up"/>
    <n v="45"/>
    <s v="Dr.   Lee"/>
    <s v="Private"/>
    <n v="0"/>
    <n v="2"/>
    <s v="Phone"/>
  </r>
  <r>
    <x v="46"/>
    <s v="PAT0044"/>
    <d v="2011-06-06T00:00:00"/>
    <s v="Male"/>
    <x v="2"/>
    <x v="3"/>
    <d v="2025-03-31T00:00:00"/>
    <d v="2025-03-31T00:00:00"/>
    <d v="1899-12-30T10:00:00"/>
    <s v="Yes"/>
    <s v="Attended"/>
    <x v="0"/>
    <s v="New"/>
    <n v="15"/>
    <s v="Dr.   Gomez"/>
    <s v="Medicaid"/>
    <n v="0"/>
    <n v="1"/>
    <s v="Walk-in"/>
  </r>
  <r>
    <x v="47"/>
    <s v="PAT0045"/>
    <d v="1981-05-25T00:00:00"/>
    <s v="Female"/>
    <x v="0"/>
    <x v="0"/>
    <d v="2025-04-01T00:00:00"/>
    <d v="2025-04-01T00:00:00"/>
    <s v="N/A"/>
    <s v="No"/>
    <s v="No-Show"/>
    <x v="1"/>
    <s v="New"/>
    <n v="30"/>
    <s v="Dr.   Smith"/>
    <s v="Private"/>
    <n v="1"/>
    <n v="7"/>
    <s v="Online"/>
  </r>
  <r>
    <x v="48"/>
    <s v="PAT0046"/>
    <d v="1952-10-10T00:00:00"/>
    <s v="Male"/>
    <x v="1"/>
    <x v="1"/>
    <d v="2025-04-02T00:00:00"/>
    <d v="2025-04-02T00:00:00"/>
    <d v="1899-12-30T11:55:00"/>
    <s v="Yes"/>
    <s v="Attended"/>
    <x v="0"/>
    <s v="Follow-up"/>
    <n v="60"/>
    <s v="Dr.   Lee"/>
    <s v="Medicare"/>
    <n v="3"/>
    <n v="25"/>
    <s v="Phone"/>
  </r>
  <r>
    <x v="49"/>
    <s v="PAT0047"/>
    <d v="1990-09-30T00:00:00"/>
    <s v="Female"/>
    <x v="3"/>
    <x v="2"/>
    <d v="2025-04-03T00:00:00"/>
    <d v="2025-04-03T00:00:00"/>
    <d v="1899-12-30T14:30:00"/>
    <s v="Yes"/>
    <s v="Attended"/>
    <x v="0"/>
    <s v="New"/>
    <n v="30"/>
    <s v="Dr.   Patel"/>
    <s v="Private"/>
    <n v="0"/>
    <n v="2"/>
    <s v="Online"/>
  </r>
  <r>
    <x v="50"/>
    <s v="PAT0048"/>
    <d v="1988-01-20T00:00:00"/>
    <s v="Male"/>
    <x v="0"/>
    <x v="0"/>
    <d v="2025-04-07T00:00:00"/>
    <d v="2025-04-07T00:00:00"/>
    <d v="1899-12-30T09:10:00"/>
    <s v="Yes"/>
    <s v="Attended"/>
    <x v="0"/>
    <s v="New"/>
    <n v="30"/>
    <s v="Dr.   Smith"/>
    <s v="Private"/>
    <n v="0"/>
    <n v="3"/>
    <s v="Online"/>
  </r>
  <r>
    <x v="51"/>
    <s v="PAT0049"/>
    <d v="1974-02-17T00:00:00"/>
    <s v="Female"/>
    <x v="2"/>
    <x v="3"/>
    <d v="2025-04-07T00:00:00"/>
    <d v="2025-04-07T00:00:00"/>
    <s v="N/A"/>
    <s v="No"/>
    <s v="Cancelled"/>
    <x v="0"/>
    <s v="Follow-up"/>
    <n v="15"/>
    <s v="Dr.   Gomez"/>
    <s v="Private"/>
    <n v="0"/>
    <n v="5"/>
    <s v="Walk-in"/>
  </r>
  <r>
    <x v="52"/>
    <s v="PAT0050"/>
    <d v="2006-08-08T00:00:00"/>
    <s v="Male"/>
    <x v="1"/>
    <x v="1"/>
    <d v="2025-04-08T00:00:00"/>
    <d v="2025-04-08T00:00:00"/>
    <d v="1899-12-30T10:20:00"/>
    <s v="Yes"/>
    <s v="Attended"/>
    <x v="0"/>
    <s v="New"/>
    <n v="45"/>
    <s v="Dr.   Lee"/>
    <s v="Medicaid"/>
    <n v="0"/>
    <n v="0"/>
    <s v="Phone"/>
  </r>
  <r>
    <x v="53"/>
    <s v="PAT0051"/>
    <d v="1999-03-03T00:00:00"/>
    <s v="Female"/>
    <x v="3"/>
    <x v="2"/>
    <d v="2025-04-09T00:00:00"/>
    <d v="2025-04-09T00:00:00"/>
    <d v="1899-12-30T13:05:00"/>
    <s v="Yes"/>
    <s v="Attended"/>
    <x v="0"/>
    <s v="Follow-up"/>
    <n v="30"/>
    <s v="Dr.   Patel"/>
    <s v="Private"/>
    <n v="0"/>
    <n v="1"/>
    <s v="Online"/>
  </r>
  <r>
    <x v="54"/>
    <s v="PAT0052"/>
    <d v="1960-07-07T00:00:00"/>
    <s v="Male"/>
    <x v="0"/>
    <x v="0"/>
    <d v="2025-04-10T00:00:00"/>
    <d v="2025-04-10T00:00:00"/>
    <d v="1899-12-30T08:35:00"/>
    <s v="Yes"/>
    <s v="Attended"/>
    <x v="0"/>
    <s v="Follow-up"/>
    <n v="30"/>
    <s v="Dr.   Smith"/>
    <s v="Medicare"/>
    <n v="2"/>
    <n v="14"/>
    <s v="Phone"/>
  </r>
  <r>
    <x v="55"/>
    <s v="PAT0053"/>
    <d v="1985-05-05T00:00:00"/>
    <s v="Female"/>
    <x v="2"/>
    <x v="4"/>
    <d v="2025-04-11T00:00:00"/>
    <d v="2025-04-11T00:00:00"/>
    <s v="N/A"/>
    <s v="No"/>
    <s v="No-Show"/>
    <x v="1"/>
    <s v="New"/>
    <n v="45"/>
    <s v="Dr.   Gomez"/>
    <s v="Private"/>
    <n v="0"/>
    <n v="2"/>
    <s v="Referral"/>
  </r>
  <r>
    <x v="56"/>
    <s v="PAT0054"/>
    <d v="1971-11-11T00:00:00"/>
    <s v="Male"/>
    <x v="1"/>
    <x v="1"/>
    <d v="2025-04-12T00:00:00"/>
    <d v="2025-04-12T00:00:00"/>
    <d v="1899-12-30T11:00:00"/>
    <s v="Yes"/>
    <s v="Attended"/>
    <x v="0"/>
    <s v="Follow-up"/>
    <n v="60"/>
    <s v="Dr.   Lee"/>
    <s v="Private"/>
    <n v="1"/>
    <n v="9"/>
    <s v="Phone"/>
  </r>
  <r>
    <x v="57"/>
    <s v="PAT0055"/>
    <d v="2002-02-02T00:00:00"/>
    <s v="Female"/>
    <x v="3"/>
    <x v="2"/>
    <d v="2025-04-13T00:00:00"/>
    <d v="2025-04-13T00:00:00"/>
    <d v="1899-12-30T14:20:00"/>
    <s v="Yes"/>
    <s v="Attended"/>
    <x v="0"/>
    <s v="New"/>
    <n v="30"/>
    <s v="Dr.   Patel"/>
    <s v="Private"/>
    <n v="0"/>
    <n v="1"/>
    <s v="Online"/>
  </r>
  <r>
    <x v="58"/>
    <s v="PAT0056"/>
    <d v="1996-06-06T00:00:00"/>
    <s v="Male"/>
    <x v="0"/>
    <x v="0"/>
    <d v="2025-04-14T00:00:00"/>
    <d v="2025-04-14T00:00:00"/>
    <d v="1899-12-30T09:50:00"/>
    <s v="Yes"/>
    <s v="Attended"/>
    <x v="0"/>
    <s v="New"/>
    <n v="30"/>
    <s v="Dr.   Smith"/>
    <s v="Private"/>
    <n v="0"/>
    <n v="3"/>
    <s v="Online"/>
  </r>
  <r>
    <x v="59"/>
    <s v="PAT0057"/>
    <d v="1983-08-08T00:00:00"/>
    <s v="Female"/>
    <x v="2"/>
    <x v="3"/>
    <d v="2025-04-15T00:00:00"/>
    <d v="2025-04-15T00:00:00"/>
    <d v="1899-12-30T10:40:00"/>
    <s v="Yes"/>
    <s v="Attended"/>
    <x v="0"/>
    <s v="Follow-up"/>
    <n v="15"/>
    <s v="Dr.   Gomez"/>
    <s v="Private"/>
    <n v="0"/>
    <n v="2"/>
    <s v="Walk-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A69F2-4DD7-1D4A-B9CE-3F4EB398E4C7}" name="PivotTable20" cacheId="8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D15" firstHeaderRow="0" firstDataRow="1" firstDataCol="1"/>
  <pivotFields count="20">
    <pivotField dataField="1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numFmtId="16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6">
        <item x="1"/>
        <item x="2"/>
        <item x="0"/>
        <item x="3"/>
        <item x="4"/>
        <item t="default"/>
      </items>
    </pivotField>
    <pivotField numFmtId="164" showAll="0"/>
    <pivotField numFmtId="164"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2">
    <field x="4"/>
    <field x="5"/>
  </rowFields>
  <rowItems count="12">
    <i>
      <x/>
    </i>
    <i r="1">
      <x v="1"/>
    </i>
    <i r="1">
      <x v="2"/>
    </i>
    <i>
      <x v="1"/>
    </i>
    <i r="1">
      <x/>
    </i>
    <i>
      <x v="2"/>
    </i>
    <i r="1">
      <x v="3"/>
    </i>
    <i r="1">
      <x v="4"/>
    </i>
    <i>
      <x v="3"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appointments" fld="0" subtotal="count" baseField="0" baseItem="0"/>
    <dataField name="Average of no-show" fld="11" subtotal="average" baseField="0" baseItem="0" numFmtId="9"/>
    <dataField name="Sum of no-show" fld="11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11A68-924F-9744-A629-DE1DD953138C}" name="PivotTable13" cacheId="8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20">
    <pivotField showAll="0"/>
    <pivotField showAll="0"/>
    <pivotField numFmtId="164"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linic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8C9BEB-B039-A643-98FD-2FD667FBD7A6}" name="Table1" displayName="Table1" ref="A1:S61" totalsRowShown="0" headerRowDxfId="21" dataDxfId="20">
  <autoFilter ref="A1:S61" xr:uid="{78965485-7D03-EC4C-B835-72FFBC566B3F}"/>
  <tableColumns count="19">
    <tableColumn id="1" xr3:uid="{7A231B1B-09DA-7B45-85CE-7E48827BFE51}" name="appointment ID" dataDxfId="19"/>
    <tableColumn id="2" xr3:uid="{A56BEECE-3F86-7B41-928B-4561D9F9F427}" name="patient_id" dataDxfId="18"/>
    <tableColumn id="3" xr3:uid="{FAB4900D-24AE-1A4B-8C48-107FEC37753D}" name="PatientDOB" dataDxfId="17"/>
    <tableColumn id="4" xr3:uid="{78522231-26A1-6E48-A85B-EAF2F6C37E41}" name="gender" dataDxfId="16"/>
    <tableColumn id="5" xr3:uid="{E6C26875-971F-6544-BC81-A030E89F859B}" name="clinic" dataDxfId="15"/>
    <tableColumn id="6" xr3:uid="{BA016BB3-47E6-0A4B-BA3E-B6F4DC49C70F}" name="department" dataDxfId="14"/>
    <tableColumn id="7" xr3:uid="{63F690B2-EA2F-7E45-86A7-EE11F0BB6BE8}" name="scheduleddate" dataDxfId="13"/>
    <tableColumn id="8" xr3:uid="{D2475F0A-DD1F-FE4C-8D7C-47EA24624B98}" name="appointmentdate" dataDxfId="12"/>
    <tableColumn id="9" xr3:uid="{E1FBA589-25D3-5347-A724-1DF1B4D24267}" name="arrivaltime" dataDxfId="11"/>
    <tableColumn id="19" xr3:uid="{58DD7C3F-BD56-7446-973D-D470F364C69A}" name="Arrived_Flag" dataDxfId="10">
      <calculatedColumnFormula>IF(K2="attended","Yes","No")</calculatedColumnFormula>
    </tableColumn>
    <tableColumn id="10" xr3:uid="{93D30A55-E6B2-524C-9959-65F97D2A8A55}" name="status" dataDxfId="9"/>
    <tableColumn id="18" xr3:uid="{FA44F3D8-6DCF-D34F-A09F-C193C037A324}" name="noshowflag" dataDxfId="8">
      <calculatedColumnFormula>--(Table1[[#This Row],[status]]="No-Show")</calculatedColumnFormula>
    </tableColumn>
    <tableColumn id="11" xr3:uid="{5C9F05AF-AAC0-9040-9B86-3D05E26A346D}" name="visittype" dataDxfId="7"/>
    <tableColumn id="12" xr3:uid="{337022C9-AB26-0144-848C-B1CA3A81E6C3}" name="appointmentlengthmin" dataDxfId="6"/>
    <tableColumn id="13" xr3:uid="{F1FDBC35-9772-7043-BF6E-BCC495525914}" name="provider" dataDxfId="5"/>
    <tableColumn id="14" xr3:uid="{B8254781-5A06-1040-A5FE-0E459AC7F0C5}" name="insurance" dataDxfId="4"/>
    <tableColumn id="15" xr3:uid="{487ADDA4-4EE8-0F4A-B6D9-A4A3F57C62DF}" name="priornoshows" dataDxfId="3"/>
    <tableColumn id="16" xr3:uid="{CD32FCF8-0A3E-FB47-BF07-597CF0DFF7F2}" name="numpriorvisits" dataDxfId="2"/>
    <tableColumn id="17" xr3:uid="{87149DBC-50EB-0E4A-91BB-13D2614E0D18}" name="checkinmethod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A4CF-3CFF-6846-BC95-EEABD64A0985}">
  <dimension ref="A1:S61"/>
  <sheetViews>
    <sheetView workbookViewId="0">
      <selection activeCell="T3" sqref="T3"/>
    </sheetView>
  </sheetViews>
  <sheetFormatPr baseColWidth="10" defaultRowHeight="16" x14ac:dyDescent="0.2"/>
  <cols>
    <col min="1" max="1" width="16.1640625" customWidth="1"/>
    <col min="2" max="2" width="11.6640625" customWidth="1"/>
    <col min="3" max="3" width="13.1640625" style="8" customWidth="1"/>
    <col min="4" max="4" width="9.1640625" customWidth="1"/>
    <col min="5" max="5" width="8" customWidth="1"/>
    <col min="6" max="6" width="15" bestFit="1" customWidth="1"/>
    <col min="7" max="7" width="15.5" style="8" customWidth="1"/>
    <col min="8" max="8" width="17.5" style="8" customWidth="1"/>
    <col min="9" max="10" width="12.33203125" style="12" customWidth="1"/>
    <col min="11" max="12" width="8.5" customWidth="1"/>
    <col min="13" max="13" width="10.33203125" customWidth="1"/>
    <col min="14" max="14" width="22" customWidth="1"/>
    <col min="15" max="15" width="10.5" bestFit="1" customWidth="1"/>
    <col min="16" max="16" width="11.5" customWidth="1"/>
    <col min="17" max="17" width="14.33203125" customWidth="1"/>
    <col min="18" max="18" width="15" customWidth="1"/>
    <col min="19" max="19" width="16.1640625" customWidth="1"/>
  </cols>
  <sheetData>
    <row r="1" spans="1:19" x14ac:dyDescent="0.2">
      <c r="A1" s="1" t="s">
        <v>171</v>
      </c>
      <c r="B1" s="1" t="s">
        <v>150</v>
      </c>
      <c r="C1" s="6" t="s">
        <v>151</v>
      </c>
      <c r="D1" s="1" t="s">
        <v>136</v>
      </c>
      <c r="E1" s="1" t="s">
        <v>137</v>
      </c>
      <c r="F1" s="1" t="s">
        <v>138</v>
      </c>
      <c r="G1" s="6" t="s">
        <v>139</v>
      </c>
      <c r="H1" s="6" t="s">
        <v>140</v>
      </c>
      <c r="I1" s="9" t="s">
        <v>141</v>
      </c>
      <c r="J1" s="9" t="s">
        <v>166</v>
      </c>
      <c r="K1" s="1" t="s">
        <v>142</v>
      </c>
      <c r="L1" s="1" t="s">
        <v>167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</row>
    <row r="2" spans="1:19" x14ac:dyDescent="0.2">
      <c r="A2" s="1" t="s">
        <v>0</v>
      </c>
      <c r="B2" s="2" t="s">
        <v>1</v>
      </c>
      <c r="C2" s="7">
        <v>30116</v>
      </c>
      <c r="D2" s="2" t="s">
        <v>2</v>
      </c>
      <c r="E2" s="2" t="s">
        <v>155</v>
      </c>
      <c r="F2" s="2" t="s">
        <v>156</v>
      </c>
      <c r="G2" s="7">
        <v>45664</v>
      </c>
      <c r="H2" s="7">
        <v>45664</v>
      </c>
      <c r="I2" s="10">
        <v>0.37152777777777773</v>
      </c>
      <c r="J2" s="10" t="str">
        <f t="shared" ref="J2:J33" si="0">IF(K2="attended","Yes","No")</f>
        <v>Yes</v>
      </c>
      <c r="K2" s="2" t="s">
        <v>3</v>
      </c>
      <c r="L2" s="2">
        <f>--(Table1[[#This Row],[status]]="No-Show")</f>
        <v>0</v>
      </c>
      <c r="M2" s="2" t="s">
        <v>4</v>
      </c>
      <c r="N2" s="2">
        <v>30</v>
      </c>
      <c r="O2" s="2" t="s">
        <v>157</v>
      </c>
      <c r="P2" s="2" t="s">
        <v>5</v>
      </c>
      <c r="Q2" s="2">
        <v>0</v>
      </c>
      <c r="R2" s="2">
        <v>5</v>
      </c>
      <c r="S2" s="2" t="s">
        <v>6</v>
      </c>
    </row>
    <row r="3" spans="1:19" x14ac:dyDescent="0.2">
      <c r="A3" s="1" t="s">
        <v>7</v>
      </c>
      <c r="B3" s="2" t="s">
        <v>8</v>
      </c>
      <c r="C3" s="7">
        <v>20423</v>
      </c>
      <c r="D3" s="2" t="s">
        <v>9</v>
      </c>
      <c r="E3" s="2" t="s">
        <v>158</v>
      </c>
      <c r="F3" s="2" t="s">
        <v>10</v>
      </c>
      <c r="G3" s="7">
        <v>45665</v>
      </c>
      <c r="H3" s="7">
        <v>45665</v>
      </c>
      <c r="I3" s="10">
        <v>0.38194444444444442</v>
      </c>
      <c r="J3" s="10" t="str">
        <f t="shared" si="0"/>
        <v>Yes</v>
      </c>
      <c r="K3" s="2" t="s">
        <v>3</v>
      </c>
      <c r="L3" s="2">
        <f>--(Table1[[#This Row],[status]]="No-Show")</f>
        <v>0</v>
      </c>
      <c r="M3" s="2" t="s">
        <v>11</v>
      </c>
      <c r="N3" s="2">
        <v>60</v>
      </c>
      <c r="O3" s="2" t="s">
        <v>159</v>
      </c>
      <c r="P3" s="2" t="s">
        <v>12</v>
      </c>
      <c r="Q3" s="2">
        <v>1</v>
      </c>
      <c r="R3" s="2">
        <v>2</v>
      </c>
      <c r="S3" s="2" t="s">
        <v>13</v>
      </c>
    </row>
    <row r="4" spans="1:19" x14ac:dyDescent="0.2">
      <c r="A4" s="1" t="s">
        <v>14</v>
      </c>
      <c r="B4" s="2" t="s">
        <v>15</v>
      </c>
      <c r="C4" s="7">
        <v>35876</v>
      </c>
      <c r="D4" s="2" t="s">
        <v>2</v>
      </c>
      <c r="E4" s="2" t="s">
        <v>155</v>
      </c>
      <c r="F4" s="2" t="s">
        <v>16</v>
      </c>
      <c r="G4" s="7">
        <v>45666</v>
      </c>
      <c r="H4" s="7">
        <v>45666</v>
      </c>
      <c r="I4" s="11" t="s">
        <v>165</v>
      </c>
      <c r="J4" s="13" t="str">
        <f t="shared" si="0"/>
        <v>No</v>
      </c>
      <c r="K4" s="2" t="s">
        <v>17</v>
      </c>
      <c r="L4" s="2">
        <f>--(Table1[[#This Row],[status]]="No-Show")</f>
        <v>1</v>
      </c>
      <c r="M4" s="2" t="s">
        <v>4</v>
      </c>
      <c r="N4" s="2">
        <v>30</v>
      </c>
      <c r="O4" s="2" t="s">
        <v>160</v>
      </c>
      <c r="P4" s="2" t="s">
        <v>5</v>
      </c>
      <c r="Q4" s="2">
        <v>2</v>
      </c>
      <c r="R4" s="2">
        <v>4</v>
      </c>
      <c r="S4" s="2" t="s">
        <v>6</v>
      </c>
    </row>
    <row r="5" spans="1:19" x14ac:dyDescent="0.2">
      <c r="A5" s="1" t="s">
        <v>18</v>
      </c>
      <c r="B5" s="2" t="s">
        <v>19</v>
      </c>
      <c r="C5" s="7">
        <v>41157</v>
      </c>
      <c r="D5" s="2" t="s">
        <v>2</v>
      </c>
      <c r="E5" s="2" t="s">
        <v>161</v>
      </c>
      <c r="F5" s="2" t="s">
        <v>20</v>
      </c>
      <c r="G5" s="7">
        <v>45667</v>
      </c>
      <c r="H5" s="7">
        <v>45667</v>
      </c>
      <c r="I5" s="10">
        <v>0.4201388888888889</v>
      </c>
      <c r="J5" s="13" t="str">
        <f t="shared" si="0"/>
        <v>Yes</v>
      </c>
      <c r="K5" s="2" t="s">
        <v>3</v>
      </c>
      <c r="L5" s="2">
        <f>--(Table1[[#This Row],[status]]="No-Show")</f>
        <v>0</v>
      </c>
      <c r="M5" s="2" t="s">
        <v>11</v>
      </c>
      <c r="N5" s="2">
        <v>30</v>
      </c>
      <c r="O5" s="2" t="s">
        <v>162</v>
      </c>
      <c r="P5" s="2" t="s">
        <v>5</v>
      </c>
      <c r="Q5" s="2">
        <v>0</v>
      </c>
      <c r="R5" s="2">
        <v>1</v>
      </c>
      <c r="S5" s="2" t="s">
        <v>21</v>
      </c>
    </row>
    <row r="6" spans="1:19" x14ac:dyDescent="0.2">
      <c r="A6" s="1" t="s">
        <v>22</v>
      </c>
      <c r="B6" s="2" t="s">
        <v>23</v>
      </c>
      <c r="C6" s="7">
        <v>25616</v>
      </c>
      <c r="D6" s="2" t="s">
        <v>9</v>
      </c>
      <c r="E6" s="2" t="s">
        <v>163</v>
      </c>
      <c r="F6" s="2" t="s">
        <v>156</v>
      </c>
      <c r="G6" s="7">
        <v>45667</v>
      </c>
      <c r="H6" s="7">
        <v>45667</v>
      </c>
      <c r="I6" s="11" t="s">
        <v>165</v>
      </c>
      <c r="J6" s="13" t="str">
        <f t="shared" si="0"/>
        <v>No</v>
      </c>
      <c r="K6" s="2" t="s">
        <v>24</v>
      </c>
      <c r="L6" s="2">
        <f>--(Table1[[#This Row],[status]]="No-Show")</f>
        <v>0</v>
      </c>
      <c r="M6" s="2" t="s">
        <v>4</v>
      </c>
      <c r="N6" s="2">
        <v>15</v>
      </c>
      <c r="O6" s="2" t="s">
        <v>164</v>
      </c>
      <c r="P6" s="2" t="s">
        <v>25</v>
      </c>
      <c r="Q6" s="2">
        <v>0</v>
      </c>
      <c r="R6" s="2">
        <v>8</v>
      </c>
      <c r="S6" s="2" t="s">
        <v>13</v>
      </c>
    </row>
    <row r="7" spans="1:19" x14ac:dyDescent="0.2">
      <c r="A7" s="1" t="s">
        <v>26</v>
      </c>
      <c r="B7" s="2" t="s">
        <v>27</v>
      </c>
      <c r="C7" s="7">
        <v>23713</v>
      </c>
      <c r="D7" s="2" t="s">
        <v>9</v>
      </c>
      <c r="E7" s="2" t="s">
        <v>158</v>
      </c>
      <c r="F7" s="2" t="s">
        <v>10</v>
      </c>
      <c r="G7" s="7">
        <v>45668</v>
      </c>
      <c r="H7" s="7">
        <v>45668</v>
      </c>
      <c r="I7" s="10">
        <v>0.47222222222222227</v>
      </c>
      <c r="J7" s="13" t="str">
        <f t="shared" si="0"/>
        <v>Yes</v>
      </c>
      <c r="K7" s="2" t="s">
        <v>3</v>
      </c>
      <c r="L7" s="2">
        <f>--(Table1[[#This Row],[status]]="No-Show")</f>
        <v>0</v>
      </c>
      <c r="M7" s="2" t="s">
        <v>4</v>
      </c>
      <c r="N7" s="2">
        <v>45</v>
      </c>
      <c r="O7" s="2" t="s">
        <v>159</v>
      </c>
      <c r="P7" s="2" t="s">
        <v>12</v>
      </c>
      <c r="Q7" s="2">
        <v>1</v>
      </c>
      <c r="R7" s="2">
        <v>10</v>
      </c>
      <c r="S7" s="2" t="s">
        <v>6</v>
      </c>
    </row>
    <row r="8" spans="1:19" x14ac:dyDescent="0.2">
      <c r="A8" s="1" t="s">
        <v>28</v>
      </c>
      <c r="B8" s="2" t="s">
        <v>29</v>
      </c>
      <c r="C8" s="7">
        <v>32343</v>
      </c>
      <c r="D8" s="2" t="s">
        <v>2</v>
      </c>
      <c r="E8" s="2" t="s">
        <v>155</v>
      </c>
      <c r="F8" s="2" t="s">
        <v>156</v>
      </c>
      <c r="G8" s="7">
        <v>45669</v>
      </c>
      <c r="H8" s="7">
        <v>45669</v>
      </c>
      <c r="I8" s="10">
        <v>0.54166666666666663</v>
      </c>
      <c r="J8" s="13" t="str">
        <f t="shared" si="0"/>
        <v>Yes</v>
      </c>
      <c r="K8" s="2" t="s">
        <v>3</v>
      </c>
      <c r="L8" s="2">
        <f>--(Table1[[#This Row],[status]]="No-Show")</f>
        <v>0</v>
      </c>
      <c r="M8" s="2" t="s">
        <v>11</v>
      </c>
      <c r="N8" s="2">
        <v>30</v>
      </c>
      <c r="O8" s="2" t="s">
        <v>157</v>
      </c>
      <c r="P8" s="2" t="s">
        <v>5</v>
      </c>
      <c r="Q8" s="2">
        <v>0</v>
      </c>
      <c r="R8" s="2">
        <v>3</v>
      </c>
      <c r="S8" s="2" t="s">
        <v>6</v>
      </c>
    </row>
    <row r="9" spans="1:19" x14ac:dyDescent="0.2">
      <c r="A9" s="1" t="s">
        <v>30</v>
      </c>
      <c r="B9" s="2" t="s">
        <v>31</v>
      </c>
      <c r="C9" s="7">
        <v>18019</v>
      </c>
      <c r="D9" s="2" t="s">
        <v>9</v>
      </c>
      <c r="E9" s="2" t="s">
        <v>158</v>
      </c>
      <c r="F9" s="2" t="s">
        <v>10</v>
      </c>
      <c r="G9" s="7">
        <v>45669</v>
      </c>
      <c r="H9" s="7">
        <v>45669</v>
      </c>
      <c r="I9" s="11" t="s">
        <v>165</v>
      </c>
      <c r="J9" s="13" t="str">
        <f t="shared" si="0"/>
        <v>No</v>
      </c>
      <c r="K9" s="2" t="s">
        <v>17</v>
      </c>
      <c r="L9" s="2">
        <f>--(Table1[[#This Row],[status]]="No-Show")</f>
        <v>1</v>
      </c>
      <c r="M9" s="2" t="s">
        <v>4</v>
      </c>
      <c r="N9" s="2">
        <v>30</v>
      </c>
      <c r="O9" s="2" t="s">
        <v>159</v>
      </c>
      <c r="P9" s="2" t="s">
        <v>12</v>
      </c>
      <c r="Q9" s="2">
        <v>3</v>
      </c>
      <c r="R9" s="2">
        <v>12</v>
      </c>
      <c r="S9" s="2" t="s">
        <v>13</v>
      </c>
    </row>
    <row r="10" spans="1:19" x14ac:dyDescent="0.2">
      <c r="A10" s="1" t="s">
        <v>32</v>
      </c>
      <c r="B10" s="2" t="s">
        <v>33</v>
      </c>
      <c r="C10" s="7">
        <v>33905</v>
      </c>
      <c r="D10" s="2" t="s">
        <v>34</v>
      </c>
      <c r="E10" s="2" t="s">
        <v>161</v>
      </c>
      <c r="F10" s="2" t="s">
        <v>35</v>
      </c>
      <c r="G10" s="7">
        <v>45670</v>
      </c>
      <c r="H10" s="7">
        <v>45671</v>
      </c>
      <c r="I10" s="10">
        <v>0.40277777777777773</v>
      </c>
      <c r="J10" s="13" t="str">
        <f t="shared" si="0"/>
        <v>Yes</v>
      </c>
      <c r="K10" s="2" t="s">
        <v>3</v>
      </c>
      <c r="L10" s="2">
        <f>--(Table1[[#This Row],[status]]="No-Show")</f>
        <v>0</v>
      </c>
      <c r="M10" s="2" t="s">
        <v>11</v>
      </c>
      <c r="N10" s="2">
        <v>45</v>
      </c>
      <c r="O10" s="2" t="s">
        <v>162</v>
      </c>
      <c r="P10" s="2" t="s">
        <v>5</v>
      </c>
      <c r="Q10" s="2">
        <v>0</v>
      </c>
      <c r="R10" s="2">
        <v>0</v>
      </c>
      <c r="S10" s="2" t="s">
        <v>36</v>
      </c>
    </row>
    <row r="11" spans="1:19" x14ac:dyDescent="0.2">
      <c r="A11" s="1" t="s">
        <v>37</v>
      </c>
      <c r="B11" s="2" t="s">
        <v>38</v>
      </c>
      <c r="C11" s="7">
        <v>29314</v>
      </c>
      <c r="D11" s="2" t="s">
        <v>2</v>
      </c>
      <c r="E11" s="2" t="s">
        <v>163</v>
      </c>
      <c r="F11" s="2" t="s">
        <v>16</v>
      </c>
      <c r="G11" s="7">
        <v>45671</v>
      </c>
      <c r="H11" s="7">
        <v>45671</v>
      </c>
      <c r="I11" s="10">
        <v>0.59375</v>
      </c>
      <c r="J11" s="13" t="str">
        <f t="shared" si="0"/>
        <v>Yes</v>
      </c>
      <c r="K11" s="2" t="s">
        <v>3</v>
      </c>
      <c r="L11" s="2">
        <f>--(Table1[[#This Row],[status]]="No-Show")</f>
        <v>0</v>
      </c>
      <c r="M11" s="2" t="s">
        <v>4</v>
      </c>
      <c r="N11" s="2">
        <v>30</v>
      </c>
      <c r="O11" s="2" t="s">
        <v>160</v>
      </c>
      <c r="P11" s="2" t="s">
        <v>5</v>
      </c>
      <c r="Q11" s="2">
        <v>1</v>
      </c>
      <c r="R11" s="2">
        <v>6</v>
      </c>
      <c r="S11" s="2" t="s">
        <v>6</v>
      </c>
    </row>
    <row r="12" spans="1:19" x14ac:dyDescent="0.2">
      <c r="A12" s="1" t="s">
        <v>39</v>
      </c>
      <c r="B12" s="2" t="s">
        <v>1</v>
      </c>
      <c r="C12" s="7">
        <v>30116</v>
      </c>
      <c r="D12" s="2" t="s">
        <v>2</v>
      </c>
      <c r="E12" s="2" t="s">
        <v>155</v>
      </c>
      <c r="F12" s="2" t="s">
        <v>156</v>
      </c>
      <c r="G12" s="7">
        <v>45693</v>
      </c>
      <c r="H12" s="7">
        <v>45693</v>
      </c>
      <c r="I12" s="10">
        <v>0.37847222222222227</v>
      </c>
      <c r="J12" s="13" t="str">
        <f t="shared" si="0"/>
        <v>Yes</v>
      </c>
      <c r="K12" s="2" t="s">
        <v>3</v>
      </c>
      <c r="L12" s="2">
        <f>--(Table1[[#This Row],[status]]="No-Show")</f>
        <v>0</v>
      </c>
      <c r="M12" s="2" t="s">
        <v>4</v>
      </c>
      <c r="N12" s="2">
        <v>15</v>
      </c>
      <c r="O12" s="2" t="s">
        <v>157</v>
      </c>
      <c r="P12" s="2" t="s">
        <v>5</v>
      </c>
      <c r="Q12" s="2">
        <v>0</v>
      </c>
      <c r="R12" s="2">
        <v>6</v>
      </c>
      <c r="S12" s="2" t="s">
        <v>6</v>
      </c>
    </row>
    <row r="13" spans="1:19" x14ac:dyDescent="0.2">
      <c r="A13" s="1" t="s">
        <v>40</v>
      </c>
      <c r="B13" s="2" t="s">
        <v>41</v>
      </c>
      <c r="C13" s="7">
        <v>18495</v>
      </c>
      <c r="D13" s="2" t="s">
        <v>9</v>
      </c>
      <c r="E13" s="2" t="s">
        <v>158</v>
      </c>
      <c r="F13" s="2" t="s">
        <v>10</v>
      </c>
      <c r="G13" s="7">
        <v>45694</v>
      </c>
      <c r="H13" s="7">
        <v>45694</v>
      </c>
      <c r="I13" s="11" t="s">
        <v>165</v>
      </c>
      <c r="J13" s="13" t="str">
        <f t="shared" si="0"/>
        <v>No</v>
      </c>
      <c r="K13" s="2" t="s">
        <v>24</v>
      </c>
      <c r="L13" s="2">
        <f>--(Table1[[#This Row],[status]]="No-Show")</f>
        <v>0</v>
      </c>
      <c r="M13" s="2" t="s">
        <v>11</v>
      </c>
      <c r="N13" s="2">
        <v>60</v>
      </c>
      <c r="O13" s="2" t="s">
        <v>159</v>
      </c>
      <c r="P13" s="2" t="s">
        <v>12</v>
      </c>
      <c r="Q13" s="2">
        <v>0</v>
      </c>
      <c r="R13" s="2">
        <v>0</v>
      </c>
      <c r="S13" s="2" t="s">
        <v>13</v>
      </c>
    </row>
    <row r="14" spans="1:19" x14ac:dyDescent="0.2">
      <c r="A14" s="1" t="s">
        <v>42</v>
      </c>
      <c r="B14" s="2" t="s">
        <v>43</v>
      </c>
      <c r="C14" s="7">
        <v>38697</v>
      </c>
      <c r="D14" s="2" t="s">
        <v>2</v>
      </c>
      <c r="E14" s="2" t="s">
        <v>161</v>
      </c>
      <c r="F14" s="2" t="s">
        <v>20</v>
      </c>
      <c r="G14" s="7">
        <v>45695</v>
      </c>
      <c r="H14" s="7">
        <v>45695</v>
      </c>
      <c r="I14" s="10">
        <v>0.4375</v>
      </c>
      <c r="J14" s="13" t="str">
        <f t="shared" si="0"/>
        <v>Yes</v>
      </c>
      <c r="K14" s="2" t="s">
        <v>3</v>
      </c>
      <c r="L14" s="2">
        <f>--(Table1[[#This Row],[status]]="No-Show")</f>
        <v>0</v>
      </c>
      <c r="M14" s="2" t="s">
        <v>4</v>
      </c>
      <c r="N14" s="2">
        <v>15</v>
      </c>
      <c r="O14" s="2" t="s">
        <v>162</v>
      </c>
      <c r="P14" s="2" t="s">
        <v>5</v>
      </c>
      <c r="Q14" s="2">
        <v>0</v>
      </c>
      <c r="R14" s="2">
        <v>2</v>
      </c>
      <c r="S14" s="2" t="s">
        <v>21</v>
      </c>
    </row>
    <row r="15" spans="1:19" x14ac:dyDescent="0.2">
      <c r="A15" s="1" t="s">
        <v>44</v>
      </c>
      <c r="B15" s="2" t="s">
        <v>45</v>
      </c>
      <c r="C15" s="7">
        <v>34714</v>
      </c>
      <c r="D15" s="2" t="s">
        <v>2</v>
      </c>
      <c r="E15" s="2" t="s">
        <v>155</v>
      </c>
      <c r="F15" s="2" t="s">
        <v>156</v>
      </c>
      <c r="G15" s="7">
        <v>45696</v>
      </c>
      <c r="H15" s="7">
        <v>45696</v>
      </c>
      <c r="I15" s="10">
        <v>0.36805555555555558</v>
      </c>
      <c r="J15" s="13" t="str">
        <f t="shared" si="0"/>
        <v>Yes</v>
      </c>
      <c r="K15" s="2" t="s">
        <v>3</v>
      </c>
      <c r="L15" s="2">
        <f>--(Table1[[#This Row],[status]]="No-Show")</f>
        <v>0</v>
      </c>
      <c r="M15" s="2" t="s">
        <v>11</v>
      </c>
      <c r="N15" s="2">
        <v>30</v>
      </c>
      <c r="O15" s="2" t="s">
        <v>157</v>
      </c>
      <c r="P15" s="2" t="s">
        <v>5</v>
      </c>
      <c r="Q15" s="2">
        <v>1</v>
      </c>
      <c r="R15" s="2">
        <v>1</v>
      </c>
      <c r="S15" s="2" t="s">
        <v>6</v>
      </c>
    </row>
    <row r="16" spans="1:19" x14ac:dyDescent="0.2">
      <c r="A16" s="1" t="s">
        <v>46</v>
      </c>
      <c r="B16" s="2" t="s">
        <v>47</v>
      </c>
      <c r="C16" s="7">
        <v>28735</v>
      </c>
      <c r="D16" s="2" t="s">
        <v>9</v>
      </c>
      <c r="E16" s="2" t="s">
        <v>163</v>
      </c>
      <c r="F16" s="2" t="s">
        <v>16</v>
      </c>
      <c r="G16" s="7">
        <v>45697</v>
      </c>
      <c r="H16" s="7">
        <v>45697</v>
      </c>
      <c r="I16" s="11" t="s">
        <v>165</v>
      </c>
      <c r="J16" s="13" t="str">
        <f t="shared" si="0"/>
        <v>No</v>
      </c>
      <c r="K16" s="2" t="s">
        <v>17</v>
      </c>
      <c r="L16" s="2">
        <f>--(Table1[[#This Row],[status]]="No-Show")</f>
        <v>1</v>
      </c>
      <c r="M16" s="2" t="s">
        <v>4</v>
      </c>
      <c r="N16" s="2">
        <v>30</v>
      </c>
      <c r="O16" s="2" t="s">
        <v>160</v>
      </c>
      <c r="P16" s="2" t="s">
        <v>5</v>
      </c>
      <c r="Q16" s="2">
        <v>0</v>
      </c>
      <c r="R16" s="2">
        <v>7</v>
      </c>
      <c r="S16" s="2" t="s">
        <v>13</v>
      </c>
    </row>
    <row r="17" spans="1:19" x14ac:dyDescent="0.2">
      <c r="A17" s="1" t="s">
        <v>48</v>
      </c>
      <c r="B17" s="2" t="s">
        <v>49</v>
      </c>
      <c r="C17" s="7">
        <v>22365</v>
      </c>
      <c r="D17" s="2" t="s">
        <v>2</v>
      </c>
      <c r="E17" s="2" t="s">
        <v>158</v>
      </c>
      <c r="F17" s="2" t="s">
        <v>10</v>
      </c>
      <c r="G17" s="7">
        <v>45698</v>
      </c>
      <c r="H17" s="7">
        <v>45698</v>
      </c>
      <c r="I17" s="10">
        <v>0.46180555555555558</v>
      </c>
      <c r="J17" s="13" t="str">
        <f t="shared" si="0"/>
        <v>Yes</v>
      </c>
      <c r="K17" s="2" t="s">
        <v>3</v>
      </c>
      <c r="L17" s="2">
        <f>--(Table1[[#This Row],[status]]="No-Show")</f>
        <v>0</v>
      </c>
      <c r="M17" s="2" t="s">
        <v>4</v>
      </c>
      <c r="N17" s="2">
        <v>45</v>
      </c>
      <c r="O17" s="2" t="s">
        <v>159</v>
      </c>
      <c r="P17" s="2" t="s">
        <v>12</v>
      </c>
      <c r="Q17" s="2">
        <v>2</v>
      </c>
      <c r="R17" s="2">
        <v>15</v>
      </c>
      <c r="S17" s="2" t="s">
        <v>13</v>
      </c>
    </row>
    <row r="18" spans="1:19" x14ac:dyDescent="0.2">
      <c r="A18" s="1" t="s">
        <v>50</v>
      </c>
      <c r="B18" s="2" t="s">
        <v>51</v>
      </c>
      <c r="C18" s="7">
        <v>31727</v>
      </c>
      <c r="D18" s="2" t="s">
        <v>9</v>
      </c>
      <c r="E18" s="2" t="s">
        <v>155</v>
      </c>
      <c r="F18" s="2" t="s">
        <v>156</v>
      </c>
      <c r="G18" s="7">
        <v>45699</v>
      </c>
      <c r="H18" s="7">
        <v>45699</v>
      </c>
      <c r="I18" s="10">
        <v>0.51388888888888895</v>
      </c>
      <c r="J18" s="13" t="str">
        <f t="shared" si="0"/>
        <v>Yes</v>
      </c>
      <c r="K18" s="2" t="s">
        <v>3</v>
      </c>
      <c r="L18" s="2">
        <f>--(Table1[[#This Row],[status]]="No-Show")</f>
        <v>0</v>
      </c>
      <c r="M18" s="2" t="s">
        <v>11</v>
      </c>
      <c r="N18" s="2">
        <v>30</v>
      </c>
      <c r="O18" s="2" t="s">
        <v>157</v>
      </c>
      <c r="P18" s="2" t="s">
        <v>5</v>
      </c>
      <c r="Q18" s="2">
        <v>0</v>
      </c>
      <c r="R18" s="2">
        <v>2</v>
      </c>
      <c r="S18" s="2" t="s">
        <v>6</v>
      </c>
    </row>
    <row r="19" spans="1:19" x14ac:dyDescent="0.2">
      <c r="A19" s="1" t="s">
        <v>52</v>
      </c>
      <c r="B19" s="2" t="s">
        <v>53</v>
      </c>
      <c r="C19" s="7">
        <v>33054</v>
      </c>
      <c r="D19" s="2" t="s">
        <v>2</v>
      </c>
      <c r="E19" s="2" t="s">
        <v>161</v>
      </c>
      <c r="F19" s="2" t="s">
        <v>35</v>
      </c>
      <c r="G19" s="7">
        <v>45700</v>
      </c>
      <c r="H19" s="7">
        <v>45700</v>
      </c>
      <c r="I19" s="11" t="s">
        <v>165</v>
      </c>
      <c r="J19" s="13" t="str">
        <f t="shared" si="0"/>
        <v>No</v>
      </c>
      <c r="K19" s="2" t="s">
        <v>24</v>
      </c>
      <c r="L19" s="2">
        <f>--(Table1[[#This Row],[status]]="No-Show")</f>
        <v>0</v>
      </c>
      <c r="M19" s="2" t="s">
        <v>11</v>
      </c>
      <c r="N19" s="2">
        <v>45</v>
      </c>
      <c r="O19" s="2" t="s">
        <v>162</v>
      </c>
      <c r="P19" s="2" t="s">
        <v>5</v>
      </c>
      <c r="Q19" s="2">
        <v>0</v>
      </c>
      <c r="R19" s="2">
        <v>1</v>
      </c>
      <c r="S19" s="2" t="s">
        <v>36</v>
      </c>
    </row>
    <row r="20" spans="1:19" x14ac:dyDescent="0.2">
      <c r="A20" s="1" t="s">
        <v>54</v>
      </c>
      <c r="B20" s="2" t="s">
        <v>55</v>
      </c>
      <c r="C20" s="7">
        <v>37364</v>
      </c>
      <c r="D20" s="2" t="s">
        <v>9</v>
      </c>
      <c r="E20" s="2" t="s">
        <v>163</v>
      </c>
      <c r="F20" s="2" t="s">
        <v>156</v>
      </c>
      <c r="G20" s="7">
        <v>45700</v>
      </c>
      <c r="H20" s="7">
        <v>45700</v>
      </c>
      <c r="I20" s="10">
        <v>0.625</v>
      </c>
      <c r="J20" s="13" t="str">
        <f t="shared" si="0"/>
        <v>Yes</v>
      </c>
      <c r="K20" s="2" t="s">
        <v>3</v>
      </c>
      <c r="L20" s="2">
        <f>--(Table1[[#This Row],[status]]="No-Show")</f>
        <v>0</v>
      </c>
      <c r="M20" s="2" t="s">
        <v>4</v>
      </c>
      <c r="N20" s="2">
        <v>15</v>
      </c>
      <c r="O20" s="2" t="s">
        <v>164</v>
      </c>
      <c r="P20" s="2" t="s">
        <v>5</v>
      </c>
      <c r="Q20" s="2">
        <v>1</v>
      </c>
      <c r="R20" s="2">
        <v>3</v>
      </c>
      <c r="S20" s="2" t="s">
        <v>6</v>
      </c>
    </row>
    <row r="21" spans="1:19" x14ac:dyDescent="0.2">
      <c r="A21" s="1" t="s">
        <v>56</v>
      </c>
      <c r="B21" s="2" t="s">
        <v>57</v>
      </c>
      <c r="C21" s="7">
        <v>27582</v>
      </c>
      <c r="D21" s="2" t="s">
        <v>2</v>
      </c>
      <c r="E21" s="2" t="s">
        <v>155</v>
      </c>
      <c r="F21" s="2" t="s">
        <v>16</v>
      </c>
      <c r="G21" s="7">
        <v>45701</v>
      </c>
      <c r="H21" s="7">
        <v>45701</v>
      </c>
      <c r="I21" s="10">
        <v>0.40625</v>
      </c>
      <c r="J21" s="13" t="str">
        <f t="shared" si="0"/>
        <v>Yes</v>
      </c>
      <c r="K21" s="2" t="s">
        <v>3</v>
      </c>
      <c r="L21" s="2">
        <f>--(Table1[[#This Row],[status]]="No-Show")</f>
        <v>0</v>
      </c>
      <c r="M21" s="2" t="s">
        <v>11</v>
      </c>
      <c r="N21" s="2">
        <v>30</v>
      </c>
      <c r="O21" s="2" t="s">
        <v>160</v>
      </c>
      <c r="P21" s="2" t="s">
        <v>5</v>
      </c>
      <c r="Q21" s="2">
        <v>0</v>
      </c>
      <c r="R21" s="2">
        <v>4</v>
      </c>
      <c r="S21" s="2" t="s">
        <v>13</v>
      </c>
    </row>
    <row r="22" spans="1:19" x14ac:dyDescent="0.2">
      <c r="A22" s="1" t="s">
        <v>58</v>
      </c>
      <c r="B22" s="2" t="s">
        <v>59</v>
      </c>
      <c r="C22" s="7">
        <v>32749</v>
      </c>
      <c r="D22" s="2" t="s">
        <v>9</v>
      </c>
      <c r="E22" s="2" t="s">
        <v>158</v>
      </c>
      <c r="F22" s="2" t="s">
        <v>10</v>
      </c>
      <c r="G22" s="7">
        <v>45717</v>
      </c>
      <c r="H22" s="7">
        <v>45717</v>
      </c>
      <c r="I22" s="10">
        <v>0.41666666666666669</v>
      </c>
      <c r="J22" s="13" t="str">
        <f t="shared" si="0"/>
        <v>Yes</v>
      </c>
      <c r="K22" s="2" t="s">
        <v>3</v>
      </c>
      <c r="L22" s="2">
        <f>--(Table1[[#This Row],[status]]="No-Show")</f>
        <v>0</v>
      </c>
      <c r="M22" s="2" t="s">
        <v>11</v>
      </c>
      <c r="N22" s="2">
        <v>60</v>
      </c>
      <c r="O22" s="2" t="s">
        <v>159</v>
      </c>
      <c r="P22" s="2" t="s">
        <v>5</v>
      </c>
      <c r="Q22" s="2">
        <v>0</v>
      </c>
      <c r="R22" s="2">
        <v>1</v>
      </c>
      <c r="S22" s="2" t="s">
        <v>6</v>
      </c>
    </row>
    <row r="23" spans="1:19" x14ac:dyDescent="0.2">
      <c r="A23" s="1" t="s">
        <v>60</v>
      </c>
      <c r="B23" s="2" t="s">
        <v>47</v>
      </c>
      <c r="C23" s="7">
        <v>28735</v>
      </c>
      <c r="D23" s="2" t="s">
        <v>9</v>
      </c>
      <c r="E23" s="2" t="s">
        <v>163</v>
      </c>
      <c r="F23" s="2" t="s">
        <v>16</v>
      </c>
      <c r="G23" s="7">
        <v>45718</v>
      </c>
      <c r="H23" s="7">
        <v>45718</v>
      </c>
      <c r="I23" s="10">
        <v>0.58333333333333337</v>
      </c>
      <c r="J23" s="13" t="str">
        <f t="shared" si="0"/>
        <v>Yes</v>
      </c>
      <c r="K23" s="2" t="s">
        <v>3</v>
      </c>
      <c r="L23" s="2">
        <f>--(Table1[[#This Row],[status]]="No-Show")</f>
        <v>0</v>
      </c>
      <c r="M23" s="2" t="s">
        <v>4</v>
      </c>
      <c r="N23" s="2">
        <v>30</v>
      </c>
      <c r="O23" s="2" t="s">
        <v>160</v>
      </c>
      <c r="P23" s="2" t="s">
        <v>5</v>
      </c>
      <c r="Q23" s="2">
        <v>1</v>
      </c>
      <c r="R23" s="2">
        <v>8</v>
      </c>
      <c r="S23" s="2" t="s">
        <v>13</v>
      </c>
    </row>
    <row r="24" spans="1:19" x14ac:dyDescent="0.2">
      <c r="A24" s="1" t="s">
        <v>61</v>
      </c>
      <c r="B24" s="2" t="s">
        <v>62</v>
      </c>
      <c r="C24" s="7">
        <v>42510</v>
      </c>
      <c r="D24" s="2" t="s">
        <v>2</v>
      </c>
      <c r="E24" s="2" t="s">
        <v>161</v>
      </c>
      <c r="F24" s="2" t="s">
        <v>20</v>
      </c>
      <c r="G24" s="7">
        <v>45719</v>
      </c>
      <c r="H24" s="7">
        <v>45719</v>
      </c>
      <c r="I24" s="11" t="s">
        <v>165</v>
      </c>
      <c r="J24" s="13" t="str">
        <f t="shared" si="0"/>
        <v>No</v>
      </c>
      <c r="K24" s="2" t="s">
        <v>17</v>
      </c>
      <c r="L24" s="2">
        <f>--(Table1[[#This Row],[status]]="No-Show")</f>
        <v>1</v>
      </c>
      <c r="M24" s="2" t="s">
        <v>11</v>
      </c>
      <c r="N24" s="2">
        <v>15</v>
      </c>
      <c r="O24" s="2" t="s">
        <v>162</v>
      </c>
      <c r="P24" s="2" t="s">
        <v>25</v>
      </c>
      <c r="Q24" s="2">
        <v>0</v>
      </c>
      <c r="R24" s="2">
        <v>0</v>
      </c>
      <c r="S24" s="2" t="s">
        <v>21</v>
      </c>
    </row>
    <row r="25" spans="1:19" x14ac:dyDescent="0.2">
      <c r="A25" s="1" t="s">
        <v>63</v>
      </c>
      <c r="B25" s="2" t="s">
        <v>64</v>
      </c>
      <c r="C25" s="7">
        <v>24839</v>
      </c>
      <c r="D25" s="2" t="s">
        <v>2</v>
      </c>
      <c r="E25" s="2" t="s">
        <v>155</v>
      </c>
      <c r="F25" s="2" t="s">
        <v>156</v>
      </c>
      <c r="G25" s="7">
        <v>45720</v>
      </c>
      <c r="H25" s="7">
        <v>45720</v>
      </c>
      <c r="I25" s="10">
        <v>0.35416666666666669</v>
      </c>
      <c r="J25" s="13" t="str">
        <f t="shared" si="0"/>
        <v>Yes</v>
      </c>
      <c r="K25" s="2" t="s">
        <v>3</v>
      </c>
      <c r="L25" s="2">
        <f>--(Table1[[#This Row],[status]]="No-Show")</f>
        <v>0</v>
      </c>
      <c r="M25" s="2" t="s">
        <v>4</v>
      </c>
      <c r="N25" s="2">
        <v>30</v>
      </c>
      <c r="O25" s="2" t="s">
        <v>157</v>
      </c>
      <c r="P25" s="2" t="s">
        <v>12</v>
      </c>
      <c r="Q25" s="2">
        <v>2</v>
      </c>
      <c r="R25" s="2">
        <v>9</v>
      </c>
      <c r="S25" s="2" t="s">
        <v>13</v>
      </c>
    </row>
    <row r="26" spans="1:19" x14ac:dyDescent="0.2">
      <c r="A26" s="1" t="s">
        <v>65</v>
      </c>
      <c r="B26" s="2" t="s">
        <v>66</v>
      </c>
      <c r="C26" s="7">
        <v>34014</v>
      </c>
      <c r="D26" s="2" t="s">
        <v>9</v>
      </c>
      <c r="E26" s="2" t="s">
        <v>158</v>
      </c>
      <c r="F26" s="2" t="s">
        <v>10</v>
      </c>
      <c r="G26" s="7">
        <v>45721</v>
      </c>
      <c r="H26" s="7">
        <v>45722</v>
      </c>
      <c r="I26" s="10">
        <v>0.4861111111111111</v>
      </c>
      <c r="J26" s="13" t="str">
        <f t="shared" si="0"/>
        <v>Yes</v>
      </c>
      <c r="K26" s="2" t="s">
        <v>3</v>
      </c>
      <c r="L26" s="2">
        <f>--(Table1[[#This Row],[status]]="No-Show")</f>
        <v>0</v>
      </c>
      <c r="M26" s="2" t="s">
        <v>11</v>
      </c>
      <c r="N26" s="2">
        <v>45</v>
      </c>
      <c r="O26" s="2" t="s">
        <v>159</v>
      </c>
      <c r="P26" s="2" t="s">
        <v>5</v>
      </c>
      <c r="Q26" s="2">
        <v>0</v>
      </c>
      <c r="R26" s="2">
        <v>0</v>
      </c>
      <c r="S26" s="2" t="s">
        <v>6</v>
      </c>
    </row>
    <row r="27" spans="1:19" x14ac:dyDescent="0.2">
      <c r="A27" s="1" t="s">
        <v>67</v>
      </c>
      <c r="B27" s="2" t="s">
        <v>68</v>
      </c>
      <c r="C27" s="7">
        <v>39730</v>
      </c>
      <c r="D27" s="2" t="s">
        <v>2</v>
      </c>
      <c r="E27" s="2" t="s">
        <v>161</v>
      </c>
      <c r="F27" s="2" t="s">
        <v>20</v>
      </c>
      <c r="G27" s="7">
        <v>45722</v>
      </c>
      <c r="H27" s="7">
        <v>45722</v>
      </c>
      <c r="I27" s="10">
        <v>0.4236111111111111</v>
      </c>
      <c r="J27" s="13" t="str">
        <f t="shared" si="0"/>
        <v>Yes</v>
      </c>
      <c r="K27" s="2" t="s">
        <v>3</v>
      </c>
      <c r="L27" s="2">
        <f>--(Table1[[#This Row],[status]]="No-Show")</f>
        <v>0</v>
      </c>
      <c r="M27" s="2" t="s">
        <v>11</v>
      </c>
      <c r="N27" s="2">
        <v>15</v>
      </c>
      <c r="O27" s="2" t="s">
        <v>162</v>
      </c>
      <c r="P27" s="2" t="s">
        <v>5</v>
      </c>
      <c r="Q27" s="2">
        <v>0</v>
      </c>
      <c r="R27" s="2">
        <v>1</v>
      </c>
      <c r="S27" s="2" t="s">
        <v>21</v>
      </c>
    </row>
    <row r="28" spans="1:19" x14ac:dyDescent="0.2">
      <c r="A28" s="1" t="s">
        <v>69</v>
      </c>
      <c r="B28" s="2" t="s">
        <v>70</v>
      </c>
      <c r="C28" s="7">
        <v>31041</v>
      </c>
      <c r="D28" s="2" t="s">
        <v>9</v>
      </c>
      <c r="E28" s="2" t="s">
        <v>155</v>
      </c>
      <c r="F28" s="2" t="s">
        <v>156</v>
      </c>
      <c r="G28" s="7">
        <v>45723</v>
      </c>
      <c r="H28" s="7">
        <v>45723</v>
      </c>
      <c r="I28" s="11" t="s">
        <v>165</v>
      </c>
      <c r="J28" s="13" t="str">
        <f t="shared" si="0"/>
        <v>No</v>
      </c>
      <c r="K28" s="2" t="s">
        <v>24</v>
      </c>
      <c r="L28" s="2">
        <f>--(Table1[[#This Row],[status]]="No-Show")</f>
        <v>0</v>
      </c>
      <c r="M28" s="2" t="s">
        <v>4</v>
      </c>
      <c r="N28" s="2">
        <v>30</v>
      </c>
      <c r="O28" s="2" t="s">
        <v>157</v>
      </c>
      <c r="P28" s="2" t="s">
        <v>5</v>
      </c>
      <c r="Q28" s="2">
        <v>1</v>
      </c>
      <c r="R28" s="2">
        <v>4</v>
      </c>
      <c r="S28" s="2" t="s">
        <v>13</v>
      </c>
    </row>
    <row r="29" spans="1:19" x14ac:dyDescent="0.2">
      <c r="A29" s="1" t="s">
        <v>71</v>
      </c>
      <c r="B29" s="2" t="s">
        <v>72</v>
      </c>
      <c r="C29" s="7">
        <v>26405</v>
      </c>
      <c r="D29" s="2" t="s">
        <v>2</v>
      </c>
      <c r="E29" s="2" t="s">
        <v>163</v>
      </c>
      <c r="F29" s="2" t="s">
        <v>16</v>
      </c>
      <c r="G29" s="7">
        <v>45724</v>
      </c>
      <c r="H29" s="7">
        <v>45724</v>
      </c>
      <c r="I29" s="10">
        <v>0.55902777777777779</v>
      </c>
      <c r="J29" s="13" t="str">
        <f t="shared" si="0"/>
        <v>Yes</v>
      </c>
      <c r="K29" s="2" t="s">
        <v>3</v>
      </c>
      <c r="L29" s="2">
        <f>--(Table1[[#This Row],[status]]="No-Show")</f>
        <v>0</v>
      </c>
      <c r="M29" s="2" t="s">
        <v>11</v>
      </c>
      <c r="N29" s="2">
        <v>30</v>
      </c>
      <c r="O29" s="2" t="s">
        <v>160</v>
      </c>
      <c r="P29" s="2" t="s">
        <v>25</v>
      </c>
      <c r="Q29" s="2">
        <v>0</v>
      </c>
      <c r="R29" s="2">
        <v>5</v>
      </c>
      <c r="S29" s="2" t="s">
        <v>6</v>
      </c>
    </row>
    <row r="30" spans="1:19" x14ac:dyDescent="0.2">
      <c r="A30" s="1" t="s">
        <v>73</v>
      </c>
      <c r="B30" s="2" t="s">
        <v>74</v>
      </c>
      <c r="C30" s="7">
        <v>21802</v>
      </c>
      <c r="D30" s="2" t="s">
        <v>9</v>
      </c>
      <c r="E30" s="2" t="s">
        <v>158</v>
      </c>
      <c r="F30" s="2" t="s">
        <v>10</v>
      </c>
      <c r="G30" s="7">
        <v>45725</v>
      </c>
      <c r="H30" s="7">
        <v>45725</v>
      </c>
      <c r="I30" s="10">
        <v>0.41319444444444442</v>
      </c>
      <c r="J30" s="13" t="str">
        <f t="shared" si="0"/>
        <v>Yes</v>
      </c>
      <c r="K30" s="2" t="s">
        <v>3</v>
      </c>
      <c r="L30" s="2">
        <f>--(Table1[[#This Row],[status]]="No-Show")</f>
        <v>0</v>
      </c>
      <c r="M30" s="2" t="s">
        <v>4</v>
      </c>
      <c r="N30" s="2">
        <v>60</v>
      </c>
      <c r="O30" s="2" t="s">
        <v>159</v>
      </c>
      <c r="P30" s="2" t="s">
        <v>12</v>
      </c>
      <c r="Q30" s="2">
        <v>4</v>
      </c>
      <c r="R30" s="2">
        <v>20</v>
      </c>
      <c r="S30" s="2" t="s">
        <v>13</v>
      </c>
    </row>
    <row r="31" spans="1:19" x14ac:dyDescent="0.2">
      <c r="A31" s="1" t="s">
        <v>75</v>
      </c>
      <c r="B31" s="2" t="s">
        <v>76</v>
      </c>
      <c r="C31" s="7">
        <v>36494</v>
      </c>
      <c r="D31" s="2" t="s">
        <v>2</v>
      </c>
      <c r="E31" s="2" t="s">
        <v>161</v>
      </c>
      <c r="F31" s="2" t="s">
        <v>35</v>
      </c>
      <c r="G31" s="7">
        <v>45726</v>
      </c>
      <c r="H31" s="7">
        <v>45726</v>
      </c>
      <c r="I31" s="11" t="s">
        <v>165</v>
      </c>
      <c r="J31" s="13" t="str">
        <f t="shared" si="0"/>
        <v>No</v>
      </c>
      <c r="K31" s="2" t="s">
        <v>17</v>
      </c>
      <c r="L31" s="2">
        <f>--(Table1[[#This Row],[status]]="No-Show")</f>
        <v>1</v>
      </c>
      <c r="M31" s="2" t="s">
        <v>11</v>
      </c>
      <c r="N31" s="2">
        <v>45</v>
      </c>
      <c r="O31" s="2" t="s">
        <v>162</v>
      </c>
      <c r="P31" s="2" t="s">
        <v>5</v>
      </c>
      <c r="Q31" s="2">
        <v>1</v>
      </c>
      <c r="R31" s="2">
        <v>2</v>
      </c>
      <c r="S31" s="2" t="s">
        <v>36</v>
      </c>
    </row>
    <row r="32" spans="1:19" x14ac:dyDescent="0.2">
      <c r="A32" s="1" t="s">
        <v>77</v>
      </c>
      <c r="B32" s="2" t="s">
        <v>78</v>
      </c>
      <c r="C32" s="7">
        <v>31902</v>
      </c>
      <c r="D32" s="2" t="s">
        <v>9</v>
      </c>
      <c r="E32" s="2" t="s">
        <v>155</v>
      </c>
      <c r="F32" s="2" t="s">
        <v>156</v>
      </c>
      <c r="G32" s="7">
        <v>45731</v>
      </c>
      <c r="H32" s="7">
        <v>45731</v>
      </c>
      <c r="I32" s="10">
        <v>0.3611111111111111</v>
      </c>
      <c r="J32" s="13" t="str">
        <f t="shared" si="0"/>
        <v>Yes</v>
      </c>
      <c r="K32" s="2" t="s">
        <v>3</v>
      </c>
      <c r="L32" s="2">
        <f>--(Table1[[#This Row],[status]]="No-Show")</f>
        <v>0</v>
      </c>
      <c r="M32" s="2" t="s">
        <v>11</v>
      </c>
      <c r="N32" s="2">
        <v>30</v>
      </c>
      <c r="O32" s="2" t="s">
        <v>157</v>
      </c>
      <c r="P32" s="2" t="s">
        <v>5</v>
      </c>
      <c r="Q32" s="2">
        <v>0</v>
      </c>
      <c r="R32" s="2">
        <v>2</v>
      </c>
      <c r="S32" s="2" t="s">
        <v>6</v>
      </c>
    </row>
    <row r="33" spans="1:19" x14ac:dyDescent="0.2">
      <c r="A33" s="1" t="s">
        <v>79</v>
      </c>
      <c r="B33" s="2" t="s">
        <v>80</v>
      </c>
      <c r="C33" s="7">
        <v>36545</v>
      </c>
      <c r="D33" s="2" t="s">
        <v>2</v>
      </c>
      <c r="E33" s="2" t="s">
        <v>163</v>
      </c>
      <c r="F33" s="2" t="s">
        <v>16</v>
      </c>
      <c r="G33" s="7">
        <v>45732</v>
      </c>
      <c r="H33" s="7">
        <v>45732</v>
      </c>
      <c r="I33" s="10">
        <v>0.58680555555555558</v>
      </c>
      <c r="J33" s="13" t="str">
        <f t="shared" si="0"/>
        <v>Yes</v>
      </c>
      <c r="K33" s="2" t="s">
        <v>3</v>
      </c>
      <c r="L33" s="2">
        <f>--(Table1[[#This Row],[status]]="No-Show")</f>
        <v>0</v>
      </c>
      <c r="M33" s="2" t="s">
        <v>4</v>
      </c>
      <c r="N33" s="2">
        <v>30</v>
      </c>
      <c r="O33" s="2" t="s">
        <v>160</v>
      </c>
      <c r="P33" s="2" t="s">
        <v>5</v>
      </c>
      <c r="Q33" s="2">
        <v>0</v>
      </c>
      <c r="R33" s="2">
        <v>1</v>
      </c>
      <c r="S33" s="2" t="s">
        <v>13</v>
      </c>
    </row>
    <row r="34" spans="1:19" x14ac:dyDescent="0.2">
      <c r="A34" s="1" t="s">
        <v>81</v>
      </c>
      <c r="B34" s="2" t="s">
        <v>15</v>
      </c>
      <c r="C34" s="7">
        <v>35876</v>
      </c>
      <c r="D34" s="2" t="s">
        <v>2</v>
      </c>
      <c r="E34" s="2" t="s">
        <v>155</v>
      </c>
      <c r="F34" s="2" t="s">
        <v>16</v>
      </c>
      <c r="G34" s="7">
        <v>45733</v>
      </c>
      <c r="H34" s="7">
        <v>45733</v>
      </c>
      <c r="I34" s="10">
        <v>0.375</v>
      </c>
      <c r="J34" s="13" t="str">
        <f t="shared" ref="J34:J61" si="1">IF(K34="attended","Yes","No")</f>
        <v>Yes</v>
      </c>
      <c r="K34" s="2" t="s">
        <v>3</v>
      </c>
      <c r="L34" s="2">
        <f>--(Table1[[#This Row],[status]]="No-Show")</f>
        <v>0</v>
      </c>
      <c r="M34" s="2" t="s">
        <v>4</v>
      </c>
      <c r="N34" s="2">
        <v>30</v>
      </c>
      <c r="O34" s="2" t="s">
        <v>160</v>
      </c>
      <c r="P34" s="2" t="s">
        <v>5</v>
      </c>
      <c r="Q34" s="2">
        <v>2</v>
      </c>
      <c r="R34" s="2">
        <v>5</v>
      </c>
      <c r="S34" s="2" t="s">
        <v>6</v>
      </c>
    </row>
    <row r="35" spans="1:19" x14ac:dyDescent="0.2">
      <c r="A35" s="1" t="s">
        <v>82</v>
      </c>
      <c r="B35" s="2" t="s">
        <v>83</v>
      </c>
      <c r="C35" s="7">
        <v>21244</v>
      </c>
      <c r="D35" s="2" t="s">
        <v>9</v>
      </c>
      <c r="E35" s="2" t="s">
        <v>158</v>
      </c>
      <c r="F35" s="2" t="s">
        <v>10</v>
      </c>
      <c r="G35" s="7">
        <v>45734</v>
      </c>
      <c r="H35" s="7">
        <v>45734</v>
      </c>
      <c r="I35" s="11" t="s">
        <v>165</v>
      </c>
      <c r="J35" s="13" t="str">
        <f t="shared" si="1"/>
        <v>No</v>
      </c>
      <c r="K35" s="2" t="s">
        <v>17</v>
      </c>
      <c r="L35" s="2">
        <f>--(Table1[[#This Row],[status]]="No-Show")</f>
        <v>1</v>
      </c>
      <c r="M35" s="2" t="s">
        <v>11</v>
      </c>
      <c r="N35" s="2">
        <v>60</v>
      </c>
      <c r="O35" s="2" t="s">
        <v>159</v>
      </c>
      <c r="P35" s="2" t="s">
        <v>12</v>
      </c>
      <c r="Q35" s="2">
        <v>3</v>
      </c>
      <c r="R35" s="2">
        <v>18</v>
      </c>
      <c r="S35" s="2" t="s">
        <v>13</v>
      </c>
    </row>
    <row r="36" spans="1:19" x14ac:dyDescent="0.2">
      <c r="A36" s="1" t="s">
        <v>84</v>
      </c>
      <c r="B36" s="2" t="s">
        <v>85</v>
      </c>
      <c r="C36" s="7">
        <v>41834</v>
      </c>
      <c r="D36" s="2" t="s">
        <v>2</v>
      </c>
      <c r="E36" s="2" t="s">
        <v>161</v>
      </c>
      <c r="F36" s="2" t="s">
        <v>20</v>
      </c>
      <c r="G36" s="7">
        <v>45735</v>
      </c>
      <c r="H36" s="7">
        <v>45735</v>
      </c>
      <c r="I36" s="10">
        <v>0.42708333333333331</v>
      </c>
      <c r="J36" s="13" t="str">
        <f t="shared" si="1"/>
        <v>Yes</v>
      </c>
      <c r="K36" s="2" t="s">
        <v>3</v>
      </c>
      <c r="L36" s="2">
        <f>--(Table1[[#This Row],[status]]="No-Show")</f>
        <v>0</v>
      </c>
      <c r="M36" s="2" t="s">
        <v>11</v>
      </c>
      <c r="N36" s="2">
        <v>15</v>
      </c>
      <c r="O36" s="2" t="s">
        <v>162</v>
      </c>
      <c r="P36" s="2" t="s">
        <v>25</v>
      </c>
      <c r="Q36" s="2">
        <v>0</v>
      </c>
      <c r="R36" s="2">
        <v>0</v>
      </c>
      <c r="S36" s="2" t="s">
        <v>21</v>
      </c>
    </row>
    <row r="37" spans="1:19" x14ac:dyDescent="0.2">
      <c r="A37" s="1" t="s">
        <v>86</v>
      </c>
      <c r="B37" s="2" t="s">
        <v>87</v>
      </c>
      <c r="C37" s="7">
        <v>33573</v>
      </c>
      <c r="D37" s="2" t="s">
        <v>9</v>
      </c>
      <c r="E37" s="2" t="s">
        <v>155</v>
      </c>
      <c r="F37" s="2" t="s">
        <v>156</v>
      </c>
      <c r="G37" s="7">
        <v>45736</v>
      </c>
      <c r="H37" s="7">
        <v>45736</v>
      </c>
      <c r="I37" s="10">
        <v>0.5</v>
      </c>
      <c r="J37" s="13" t="str">
        <f t="shared" si="1"/>
        <v>Yes</v>
      </c>
      <c r="K37" s="2" t="s">
        <v>3</v>
      </c>
      <c r="L37" s="2">
        <f>--(Table1[[#This Row],[status]]="No-Show")</f>
        <v>0</v>
      </c>
      <c r="M37" s="2" t="s">
        <v>4</v>
      </c>
      <c r="N37" s="2">
        <v>30</v>
      </c>
      <c r="O37" s="2" t="s">
        <v>157</v>
      </c>
      <c r="P37" s="2" t="s">
        <v>5</v>
      </c>
      <c r="Q37" s="2">
        <v>0</v>
      </c>
      <c r="R37" s="2">
        <v>3</v>
      </c>
      <c r="S37" s="2" t="s">
        <v>6</v>
      </c>
    </row>
    <row r="38" spans="1:19" x14ac:dyDescent="0.2">
      <c r="A38" s="1" t="s">
        <v>88</v>
      </c>
      <c r="B38" s="2" t="s">
        <v>89</v>
      </c>
      <c r="C38" s="7">
        <v>27917</v>
      </c>
      <c r="D38" s="2" t="s">
        <v>2</v>
      </c>
      <c r="E38" s="2" t="s">
        <v>163</v>
      </c>
      <c r="F38" s="2" t="s">
        <v>16</v>
      </c>
      <c r="G38" s="7">
        <v>45737</v>
      </c>
      <c r="H38" s="7">
        <v>45737</v>
      </c>
      <c r="I38" s="11" t="s">
        <v>165</v>
      </c>
      <c r="J38" s="13" t="str">
        <f t="shared" si="1"/>
        <v>No</v>
      </c>
      <c r="K38" s="2" t="s">
        <v>24</v>
      </c>
      <c r="L38" s="2">
        <f>--(Table1[[#This Row],[status]]="No-Show")</f>
        <v>0</v>
      </c>
      <c r="M38" s="2" t="s">
        <v>11</v>
      </c>
      <c r="N38" s="2">
        <v>30</v>
      </c>
      <c r="O38" s="2" t="s">
        <v>160</v>
      </c>
      <c r="P38" s="2" t="s">
        <v>5</v>
      </c>
      <c r="Q38" s="2">
        <v>0</v>
      </c>
      <c r="R38" s="2">
        <v>2</v>
      </c>
      <c r="S38" s="2" t="s">
        <v>13</v>
      </c>
    </row>
    <row r="39" spans="1:19" x14ac:dyDescent="0.2">
      <c r="A39" s="1" t="s">
        <v>90</v>
      </c>
      <c r="B39" s="2" t="s">
        <v>91</v>
      </c>
      <c r="C39" s="7">
        <v>30599</v>
      </c>
      <c r="D39" s="2" t="s">
        <v>9</v>
      </c>
      <c r="E39" s="2" t="s">
        <v>158</v>
      </c>
      <c r="F39" s="2" t="s">
        <v>10</v>
      </c>
      <c r="G39" s="7">
        <v>45738</v>
      </c>
      <c r="H39" s="7">
        <v>45738</v>
      </c>
      <c r="I39" s="10">
        <v>0.39583333333333331</v>
      </c>
      <c r="J39" s="13" t="str">
        <f t="shared" si="1"/>
        <v>Yes</v>
      </c>
      <c r="K39" s="2" t="s">
        <v>3</v>
      </c>
      <c r="L39" s="2">
        <f>--(Table1[[#This Row],[status]]="No-Show")</f>
        <v>0</v>
      </c>
      <c r="M39" s="2" t="s">
        <v>4</v>
      </c>
      <c r="N39" s="2">
        <v>45</v>
      </c>
      <c r="O39" s="2" t="s">
        <v>159</v>
      </c>
      <c r="P39" s="2" t="s">
        <v>5</v>
      </c>
      <c r="Q39" s="2">
        <v>1</v>
      </c>
      <c r="R39" s="2">
        <v>6</v>
      </c>
      <c r="S39" s="2" t="s">
        <v>13</v>
      </c>
    </row>
    <row r="40" spans="1:19" x14ac:dyDescent="0.2">
      <c r="A40" s="1" t="s">
        <v>92</v>
      </c>
      <c r="B40" s="2" t="s">
        <v>93</v>
      </c>
      <c r="C40" s="7">
        <v>35285</v>
      </c>
      <c r="D40" s="2" t="s">
        <v>2</v>
      </c>
      <c r="E40" s="2" t="s">
        <v>161</v>
      </c>
      <c r="F40" s="2" t="s">
        <v>35</v>
      </c>
      <c r="G40" s="7">
        <v>45739</v>
      </c>
      <c r="H40" s="7">
        <v>45739</v>
      </c>
      <c r="I40" s="10">
        <v>0.46527777777777773</v>
      </c>
      <c r="J40" s="13" t="str">
        <f t="shared" si="1"/>
        <v>Yes</v>
      </c>
      <c r="K40" s="2" t="s">
        <v>3</v>
      </c>
      <c r="L40" s="2">
        <f>--(Table1[[#This Row],[status]]="No-Show")</f>
        <v>0</v>
      </c>
      <c r="M40" s="2" t="s">
        <v>11</v>
      </c>
      <c r="N40" s="2">
        <v>45</v>
      </c>
      <c r="O40" s="2" t="s">
        <v>162</v>
      </c>
      <c r="P40" s="2" t="s">
        <v>5</v>
      </c>
      <c r="Q40" s="2">
        <v>0</v>
      </c>
      <c r="R40" s="2">
        <v>1</v>
      </c>
      <c r="S40" s="2" t="s">
        <v>36</v>
      </c>
    </row>
    <row r="41" spans="1:19" x14ac:dyDescent="0.2">
      <c r="A41" s="1" t="s">
        <v>94</v>
      </c>
      <c r="B41" s="2" t="s">
        <v>95</v>
      </c>
      <c r="C41" s="7">
        <v>19421</v>
      </c>
      <c r="D41" s="2" t="s">
        <v>9</v>
      </c>
      <c r="E41" s="2" t="s">
        <v>155</v>
      </c>
      <c r="F41" s="2" t="s">
        <v>156</v>
      </c>
      <c r="G41" s="7">
        <v>45740</v>
      </c>
      <c r="H41" s="7">
        <v>45740</v>
      </c>
      <c r="I41" s="10">
        <v>0.36805555555555558</v>
      </c>
      <c r="J41" s="13" t="str">
        <f t="shared" si="1"/>
        <v>Yes</v>
      </c>
      <c r="K41" s="2" t="s">
        <v>3</v>
      </c>
      <c r="L41" s="2">
        <f>--(Table1[[#This Row],[status]]="No-Show")</f>
        <v>0</v>
      </c>
      <c r="M41" s="2" t="s">
        <v>4</v>
      </c>
      <c r="N41" s="2">
        <v>30</v>
      </c>
      <c r="O41" s="2" t="s">
        <v>157</v>
      </c>
      <c r="P41" s="2" t="s">
        <v>12</v>
      </c>
      <c r="Q41" s="2">
        <v>2</v>
      </c>
      <c r="R41" s="2">
        <v>22</v>
      </c>
      <c r="S41" s="2" t="s">
        <v>13</v>
      </c>
    </row>
    <row r="42" spans="1:19" x14ac:dyDescent="0.2">
      <c r="A42" s="1" t="s">
        <v>96</v>
      </c>
      <c r="B42" s="2" t="s">
        <v>97</v>
      </c>
      <c r="C42" s="7">
        <v>37936</v>
      </c>
      <c r="D42" s="2" t="s">
        <v>2</v>
      </c>
      <c r="E42" s="2" t="s">
        <v>163</v>
      </c>
      <c r="F42" s="2" t="s">
        <v>16</v>
      </c>
      <c r="G42" s="7">
        <v>45741</v>
      </c>
      <c r="H42" s="7">
        <v>45741</v>
      </c>
      <c r="I42" s="11" t="s">
        <v>165</v>
      </c>
      <c r="J42" s="13" t="str">
        <f t="shared" si="1"/>
        <v>No</v>
      </c>
      <c r="K42" s="2" t="s">
        <v>17</v>
      </c>
      <c r="L42" s="2">
        <f>--(Table1[[#This Row],[status]]="No-Show")</f>
        <v>1</v>
      </c>
      <c r="M42" s="2" t="s">
        <v>11</v>
      </c>
      <c r="N42" s="2">
        <v>30</v>
      </c>
      <c r="O42" s="2" t="s">
        <v>160</v>
      </c>
      <c r="P42" s="2" t="s">
        <v>5</v>
      </c>
      <c r="Q42" s="2">
        <v>0</v>
      </c>
      <c r="R42" s="2">
        <v>0</v>
      </c>
      <c r="S42" s="2" t="s">
        <v>6</v>
      </c>
    </row>
    <row r="43" spans="1:19" x14ac:dyDescent="0.2">
      <c r="A43" s="1" t="s">
        <v>98</v>
      </c>
      <c r="B43" s="2" t="s">
        <v>99</v>
      </c>
      <c r="C43" s="7">
        <v>31048</v>
      </c>
      <c r="D43" s="2" t="s">
        <v>9</v>
      </c>
      <c r="E43" s="2" t="s">
        <v>158</v>
      </c>
      <c r="F43" s="2" t="s">
        <v>10</v>
      </c>
      <c r="G43" s="7">
        <v>45742</v>
      </c>
      <c r="H43" s="7">
        <v>45742</v>
      </c>
      <c r="I43" s="10">
        <v>0.44791666666666669</v>
      </c>
      <c r="J43" s="13" t="str">
        <f t="shared" si="1"/>
        <v>Yes</v>
      </c>
      <c r="K43" s="2" t="s">
        <v>3</v>
      </c>
      <c r="L43" s="2">
        <f>--(Table1[[#This Row],[status]]="No-Show")</f>
        <v>0</v>
      </c>
      <c r="M43" s="2" t="s">
        <v>11</v>
      </c>
      <c r="N43" s="2">
        <v>60</v>
      </c>
      <c r="O43" s="2" t="s">
        <v>159</v>
      </c>
      <c r="P43" s="2" t="s">
        <v>5</v>
      </c>
      <c r="Q43" s="2">
        <v>0</v>
      </c>
      <c r="R43" s="2">
        <v>3</v>
      </c>
      <c r="S43" s="2" t="s">
        <v>13</v>
      </c>
    </row>
    <row r="44" spans="1:19" x14ac:dyDescent="0.2">
      <c r="A44" s="1" t="s">
        <v>100</v>
      </c>
      <c r="B44" s="2" t="s">
        <v>101</v>
      </c>
      <c r="C44" s="7">
        <v>34428</v>
      </c>
      <c r="D44" s="2" t="s">
        <v>2</v>
      </c>
      <c r="E44" s="2" t="s">
        <v>161</v>
      </c>
      <c r="F44" s="2" t="s">
        <v>20</v>
      </c>
      <c r="G44" s="7">
        <v>45743</v>
      </c>
      <c r="H44" s="7">
        <v>45743</v>
      </c>
      <c r="I44" s="10">
        <v>0.4201388888888889</v>
      </c>
      <c r="J44" s="13" t="str">
        <f t="shared" si="1"/>
        <v>Yes</v>
      </c>
      <c r="K44" s="2" t="s">
        <v>3</v>
      </c>
      <c r="L44" s="2">
        <f>--(Table1[[#This Row],[status]]="No-Show")</f>
        <v>0</v>
      </c>
      <c r="M44" s="2" t="s">
        <v>4</v>
      </c>
      <c r="N44" s="2">
        <v>15</v>
      </c>
      <c r="O44" s="2" t="s">
        <v>162</v>
      </c>
      <c r="P44" s="2" t="s">
        <v>5</v>
      </c>
      <c r="Q44" s="2">
        <v>0</v>
      </c>
      <c r="R44" s="2">
        <v>2</v>
      </c>
      <c r="S44" s="2" t="s">
        <v>21</v>
      </c>
    </row>
    <row r="45" spans="1:19" x14ac:dyDescent="0.2">
      <c r="A45" s="1" t="s">
        <v>102</v>
      </c>
      <c r="B45" s="2" t="s">
        <v>103</v>
      </c>
      <c r="C45" s="7">
        <v>24453</v>
      </c>
      <c r="D45" s="2" t="s">
        <v>2</v>
      </c>
      <c r="E45" s="2" t="s">
        <v>155</v>
      </c>
      <c r="F45" s="2" t="s">
        <v>156</v>
      </c>
      <c r="G45" s="7">
        <v>45744</v>
      </c>
      <c r="H45" s="7">
        <v>45744</v>
      </c>
      <c r="I45" s="11" t="s">
        <v>165</v>
      </c>
      <c r="J45" s="13" t="str">
        <f t="shared" si="1"/>
        <v>No</v>
      </c>
      <c r="K45" s="2" t="s">
        <v>24</v>
      </c>
      <c r="L45" s="2">
        <f>--(Table1[[#This Row],[status]]="No-Show")</f>
        <v>0</v>
      </c>
      <c r="M45" s="2" t="s">
        <v>4</v>
      </c>
      <c r="N45" s="2">
        <v>30</v>
      </c>
      <c r="O45" s="2" t="s">
        <v>157</v>
      </c>
      <c r="P45" s="2" t="s">
        <v>12</v>
      </c>
      <c r="Q45" s="2">
        <v>1</v>
      </c>
      <c r="R45" s="2">
        <v>11</v>
      </c>
      <c r="S45" s="2" t="s">
        <v>13</v>
      </c>
    </row>
    <row r="46" spans="1:19" x14ac:dyDescent="0.2">
      <c r="A46" s="1" t="s">
        <v>104</v>
      </c>
      <c r="B46" s="2" t="s">
        <v>105</v>
      </c>
      <c r="C46" s="7">
        <v>29117</v>
      </c>
      <c r="D46" s="2" t="s">
        <v>9</v>
      </c>
      <c r="E46" s="2" t="s">
        <v>163</v>
      </c>
      <c r="F46" s="2" t="s">
        <v>16</v>
      </c>
      <c r="G46" s="7">
        <v>45745</v>
      </c>
      <c r="H46" s="7">
        <v>45745</v>
      </c>
      <c r="I46" s="10">
        <v>0.56944444444444442</v>
      </c>
      <c r="J46" s="13" t="str">
        <f t="shared" si="1"/>
        <v>Yes</v>
      </c>
      <c r="K46" s="2" t="s">
        <v>3</v>
      </c>
      <c r="L46" s="2">
        <f>--(Table1[[#This Row],[status]]="No-Show")</f>
        <v>0</v>
      </c>
      <c r="M46" s="2" t="s">
        <v>11</v>
      </c>
      <c r="N46" s="2">
        <v>30</v>
      </c>
      <c r="O46" s="2" t="s">
        <v>160</v>
      </c>
      <c r="P46" s="2" t="s">
        <v>5</v>
      </c>
      <c r="Q46" s="2">
        <v>0</v>
      </c>
      <c r="R46" s="2">
        <v>4</v>
      </c>
      <c r="S46" s="2" t="s">
        <v>6</v>
      </c>
    </row>
    <row r="47" spans="1:19" x14ac:dyDescent="0.2">
      <c r="A47" s="1" t="s">
        <v>106</v>
      </c>
      <c r="B47" s="2" t="s">
        <v>107</v>
      </c>
      <c r="C47" s="7">
        <v>35463</v>
      </c>
      <c r="D47" s="2" t="s">
        <v>2</v>
      </c>
      <c r="E47" s="2" t="s">
        <v>158</v>
      </c>
      <c r="F47" s="2" t="s">
        <v>10</v>
      </c>
      <c r="G47" s="7">
        <v>45746</v>
      </c>
      <c r="H47" s="7">
        <v>45746</v>
      </c>
      <c r="I47" s="10">
        <v>0.3888888888888889</v>
      </c>
      <c r="J47" s="13" t="str">
        <f t="shared" si="1"/>
        <v>Yes</v>
      </c>
      <c r="K47" s="2" t="s">
        <v>3</v>
      </c>
      <c r="L47" s="2">
        <f>--(Table1[[#This Row],[status]]="No-Show")</f>
        <v>0</v>
      </c>
      <c r="M47" s="2" t="s">
        <v>4</v>
      </c>
      <c r="N47" s="2">
        <v>45</v>
      </c>
      <c r="O47" s="2" t="s">
        <v>159</v>
      </c>
      <c r="P47" s="2" t="s">
        <v>5</v>
      </c>
      <c r="Q47" s="2">
        <v>0</v>
      </c>
      <c r="R47" s="2">
        <v>2</v>
      </c>
      <c r="S47" s="2" t="s">
        <v>13</v>
      </c>
    </row>
    <row r="48" spans="1:19" x14ac:dyDescent="0.2">
      <c r="A48" s="1" t="s">
        <v>108</v>
      </c>
      <c r="B48" s="2" t="s">
        <v>109</v>
      </c>
      <c r="C48" s="7">
        <v>40700</v>
      </c>
      <c r="D48" s="2" t="s">
        <v>9</v>
      </c>
      <c r="E48" s="2" t="s">
        <v>161</v>
      </c>
      <c r="F48" s="2" t="s">
        <v>20</v>
      </c>
      <c r="G48" s="7">
        <v>45747</v>
      </c>
      <c r="H48" s="7">
        <v>45747</v>
      </c>
      <c r="I48" s="10">
        <v>0.41666666666666669</v>
      </c>
      <c r="J48" s="13" t="str">
        <f t="shared" si="1"/>
        <v>Yes</v>
      </c>
      <c r="K48" s="2" t="s">
        <v>3</v>
      </c>
      <c r="L48" s="2">
        <f>--(Table1[[#This Row],[status]]="No-Show")</f>
        <v>0</v>
      </c>
      <c r="M48" s="2" t="s">
        <v>11</v>
      </c>
      <c r="N48" s="2">
        <v>15</v>
      </c>
      <c r="O48" s="2" t="s">
        <v>162</v>
      </c>
      <c r="P48" s="2" t="s">
        <v>25</v>
      </c>
      <c r="Q48" s="2">
        <v>0</v>
      </c>
      <c r="R48" s="2">
        <v>1</v>
      </c>
      <c r="S48" s="2" t="s">
        <v>21</v>
      </c>
    </row>
    <row r="49" spans="1:19" x14ac:dyDescent="0.2">
      <c r="A49" s="1" t="s">
        <v>110</v>
      </c>
      <c r="B49" s="2" t="s">
        <v>111</v>
      </c>
      <c r="C49" s="7">
        <v>29731</v>
      </c>
      <c r="D49" s="2" t="s">
        <v>2</v>
      </c>
      <c r="E49" s="2" t="s">
        <v>155</v>
      </c>
      <c r="F49" s="2" t="s">
        <v>156</v>
      </c>
      <c r="G49" s="7">
        <v>45748</v>
      </c>
      <c r="H49" s="7">
        <v>45748</v>
      </c>
      <c r="I49" s="11" t="s">
        <v>165</v>
      </c>
      <c r="J49" s="13" t="str">
        <f t="shared" si="1"/>
        <v>No</v>
      </c>
      <c r="K49" s="2" t="s">
        <v>17</v>
      </c>
      <c r="L49" s="2">
        <f>--(Table1[[#This Row],[status]]="No-Show")</f>
        <v>1</v>
      </c>
      <c r="M49" s="2" t="s">
        <v>11</v>
      </c>
      <c r="N49" s="2">
        <v>30</v>
      </c>
      <c r="O49" s="2" t="s">
        <v>157</v>
      </c>
      <c r="P49" s="2" t="s">
        <v>5</v>
      </c>
      <c r="Q49" s="2">
        <v>1</v>
      </c>
      <c r="R49" s="2">
        <v>7</v>
      </c>
      <c r="S49" s="2" t="s">
        <v>6</v>
      </c>
    </row>
    <row r="50" spans="1:19" x14ac:dyDescent="0.2">
      <c r="A50" s="1" t="s">
        <v>112</v>
      </c>
      <c r="B50" s="2" t="s">
        <v>113</v>
      </c>
      <c r="C50" s="7">
        <v>19277</v>
      </c>
      <c r="D50" s="2" t="s">
        <v>9</v>
      </c>
      <c r="E50" s="2" t="s">
        <v>158</v>
      </c>
      <c r="F50" s="2" t="s">
        <v>10</v>
      </c>
      <c r="G50" s="7">
        <v>45749</v>
      </c>
      <c r="H50" s="7">
        <v>45749</v>
      </c>
      <c r="I50" s="10">
        <v>0.49652777777777773</v>
      </c>
      <c r="J50" s="13" t="str">
        <f t="shared" si="1"/>
        <v>Yes</v>
      </c>
      <c r="K50" s="2" t="s">
        <v>3</v>
      </c>
      <c r="L50" s="2">
        <f>--(Table1[[#This Row],[status]]="No-Show")</f>
        <v>0</v>
      </c>
      <c r="M50" s="2" t="s">
        <v>4</v>
      </c>
      <c r="N50" s="2">
        <v>60</v>
      </c>
      <c r="O50" s="2" t="s">
        <v>159</v>
      </c>
      <c r="P50" s="2" t="s">
        <v>12</v>
      </c>
      <c r="Q50" s="2">
        <v>3</v>
      </c>
      <c r="R50" s="2">
        <v>25</v>
      </c>
      <c r="S50" s="2" t="s">
        <v>13</v>
      </c>
    </row>
    <row r="51" spans="1:19" x14ac:dyDescent="0.2">
      <c r="A51" s="1" t="s">
        <v>114</v>
      </c>
      <c r="B51" s="2" t="s">
        <v>115</v>
      </c>
      <c r="C51" s="7">
        <v>33146</v>
      </c>
      <c r="D51" s="2" t="s">
        <v>2</v>
      </c>
      <c r="E51" s="2" t="s">
        <v>163</v>
      </c>
      <c r="F51" s="2" t="s">
        <v>16</v>
      </c>
      <c r="G51" s="7">
        <v>45750</v>
      </c>
      <c r="H51" s="7">
        <v>45750</v>
      </c>
      <c r="I51" s="10">
        <v>0.60416666666666663</v>
      </c>
      <c r="J51" s="13" t="str">
        <f t="shared" si="1"/>
        <v>Yes</v>
      </c>
      <c r="K51" s="2" t="s">
        <v>3</v>
      </c>
      <c r="L51" s="2">
        <f>--(Table1[[#This Row],[status]]="No-Show")</f>
        <v>0</v>
      </c>
      <c r="M51" s="2" t="s">
        <v>11</v>
      </c>
      <c r="N51" s="2">
        <v>30</v>
      </c>
      <c r="O51" s="2" t="s">
        <v>160</v>
      </c>
      <c r="P51" s="2" t="s">
        <v>5</v>
      </c>
      <c r="Q51" s="2">
        <v>0</v>
      </c>
      <c r="R51" s="2">
        <v>2</v>
      </c>
      <c r="S51" s="2" t="s">
        <v>6</v>
      </c>
    </row>
    <row r="52" spans="1:19" x14ac:dyDescent="0.2">
      <c r="A52" s="1" t="s">
        <v>116</v>
      </c>
      <c r="B52" s="2" t="s">
        <v>117</v>
      </c>
      <c r="C52" s="7">
        <v>32162</v>
      </c>
      <c r="D52" s="2" t="s">
        <v>9</v>
      </c>
      <c r="E52" s="2" t="s">
        <v>155</v>
      </c>
      <c r="F52" s="2" t="s">
        <v>156</v>
      </c>
      <c r="G52" s="7">
        <v>45754</v>
      </c>
      <c r="H52" s="7">
        <v>45754</v>
      </c>
      <c r="I52" s="10">
        <v>0.38194444444444442</v>
      </c>
      <c r="J52" s="13" t="str">
        <f t="shared" si="1"/>
        <v>Yes</v>
      </c>
      <c r="K52" s="2" t="s">
        <v>3</v>
      </c>
      <c r="L52" s="2">
        <f>--(Table1[[#This Row],[status]]="No-Show")</f>
        <v>0</v>
      </c>
      <c r="M52" s="2" t="s">
        <v>11</v>
      </c>
      <c r="N52" s="2">
        <v>30</v>
      </c>
      <c r="O52" s="2" t="s">
        <v>157</v>
      </c>
      <c r="P52" s="2" t="s">
        <v>5</v>
      </c>
      <c r="Q52" s="2">
        <v>0</v>
      </c>
      <c r="R52" s="2">
        <v>3</v>
      </c>
      <c r="S52" s="2" t="s">
        <v>6</v>
      </c>
    </row>
    <row r="53" spans="1:19" x14ac:dyDescent="0.2">
      <c r="A53" s="1" t="s">
        <v>118</v>
      </c>
      <c r="B53" s="2" t="s">
        <v>119</v>
      </c>
      <c r="C53" s="7">
        <v>27077</v>
      </c>
      <c r="D53" s="2" t="s">
        <v>2</v>
      </c>
      <c r="E53" s="2" t="s">
        <v>161</v>
      </c>
      <c r="F53" s="2" t="s">
        <v>20</v>
      </c>
      <c r="G53" s="7">
        <v>45754</v>
      </c>
      <c r="H53" s="7">
        <v>45754</v>
      </c>
      <c r="I53" s="11" t="s">
        <v>165</v>
      </c>
      <c r="J53" s="13" t="str">
        <f t="shared" si="1"/>
        <v>No</v>
      </c>
      <c r="K53" s="2" t="s">
        <v>24</v>
      </c>
      <c r="L53" s="2">
        <f>--(Table1[[#This Row],[status]]="No-Show")</f>
        <v>0</v>
      </c>
      <c r="M53" s="2" t="s">
        <v>4</v>
      </c>
      <c r="N53" s="2">
        <v>15</v>
      </c>
      <c r="O53" s="2" t="s">
        <v>162</v>
      </c>
      <c r="P53" s="2" t="s">
        <v>5</v>
      </c>
      <c r="Q53" s="2">
        <v>0</v>
      </c>
      <c r="R53" s="2">
        <v>5</v>
      </c>
      <c r="S53" s="2" t="s">
        <v>21</v>
      </c>
    </row>
    <row r="54" spans="1:19" x14ac:dyDescent="0.2">
      <c r="A54" s="1" t="s">
        <v>120</v>
      </c>
      <c r="B54" s="2" t="s">
        <v>121</v>
      </c>
      <c r="C54" s="7">
        <v>38937</v>
      </c>
      <c r="D54" s="2" t="s">
        <v>9</v>
      </c>
      <c r="E54" s="2" t="s">
        <v>158</v>
      </c>
      <c r="F54" s="2" t="s">
        <v>10</v>
      </c>
      <c r="G54" s="7">
        <v>45755</v>
      </c>
      <c r="H54" s="7">
        <v>45755</v>
      </c>
      <c r="I54" s="10">
        <v>0.43055555555555558</v>
      </c>
      <c r="J54" s="13" t="str">
        <f t="shared" si="1"/>
        <v>Yes</v>
      </c>
      <c r="K54" s="2" t="s">
        <v>3</v>
      </c>
      <c r="L54" s="2">
        <f>--(Table1[[#This Row],[status]]="No-Show")</f>
        <v>0</v>
      </c>
      <c r="M54" s="2" t="s">
        <v>11</v>
      </c>
      <c r="N54" s="2">
        <v>45</v>
      </c>
      <c r="O54" s="2" t="s">
        <v>159</v>
      </c>
      <c r="P54" s="2" t="s">
        <v>25</v>
      </c>
      <c r="Q54" s="2">
        <v>0</v>
      </c>
      <c r="R54" s="2">
        <v>0</v>
      </c>
      <c r="S54" s="2" t="s">
        <v>13</v>
      </c>
    </row>
    <row r="55" spans="1:19" x14ac:dyDescent="0.2">
      <c r="A55" s="1" t="s">
        <v>122</v>
      </c>
      <c r="B55" s="2" t="s">
        <v>123</v>
      </c>
      <c r="C55" s="7">
        <v>36222</v>
      </c>
      <c r="D55" s="2" t="s">
        <v>2</v>
      </c>
      <c r="E55" s="2" t="s">
        <v>163</v>
      </c>
      <c r="F55" s="2" t="s">
        <v>16</v>
      </c>
      <c r="G55" s="7">
        <v>45756</v>
      </c>
      <c r="H55" s="7">
        <v>45756</v>
      </c>
      <c r="I55" s="10">
        <v>0.54513888888888895</v>
      </c>
      <c r="J55" s="13" t="str">
        <f t="shared" si="1"/>
        <v>Yes</v>
      </c>
      <c r="K55" s="2" t="s">
        <v>3</v>
      </c>
      <c r="L55" s="2">
        <f>--(Table1[[#This Row],[status]]="No-Show")</f>
        <v>0</v>
      </c>
      <c r="M55" s="2" t="s">
        <v>4</v>
      </c>
      <c r="N55" s="2">
        <v>30</v>
      </c>
      <c r="O55" s="2" t="s">
        <v>160</v>
      </c>
      <c r="P55" s="2" t="s">
        <v>5</v>
      </c>
      <c r="Q55" s="2">
        <v>0</v>
      </c>
      <c r="R55" s="2">
        <v>1</v>
      </c>
      <c r="S55" s="2" t="s">
        <v>6</v>
      </c>
    </row>
    <row r="56" spans="1:19" x14ac:dyDescent="0.2">
      <c r="A56" s="1" t="s">
        <v>124</v>
      </c>
      <c r="B56" s="2" t="s">
        <v>125</v>
      </c>
      <c r="C56" s="7">
        <v>22104</v>
      </c>
      <c r="D56" s="2" t="s">
        <v>9</v>
      </c>
      <c r="E56" s="2" t="s">
        <v>155</v>
      </c>
      <c r="F56" s="2" t="s">
        <v>156</v>
      </c>
      <c r="G56" s="7">
        <v>45757</v>
      </c>
      <c r="H56" s="7">
        <v>45757</v>
      </c>
      <c r="I56" s="10">
        <v>0.3576388888888889</v>
      </c>
      <c r="J56" s="13" t="str">
        <f t="shared" si="1"/>
        <v>Yes</v>
      </c>
      <c r="K56" s="2" t="s">
        <v>3</v>
      </c>
      <c r="L56" s="2">
        <f>--(Table1[[#This Row],[status]]="No-Show")</f>
        <v>0</v>
      </c>
      <c r="M56" s="2" t="s">
        <v>4</v>
      </c>
      <c r="N56" s="2">
        <v>30</v>
      </c>
      <c r="O56" s="2" t="s">
        <v>157</v>
      </c>
      <c r="P56" s="2" t="s">
        <v>12</v>
      </c>
      <c r="Q56" s="2">
        <v>2</v>
      </c>
      <c r="R56" s="2">
        <v>14</v>
      </c>
      <c r="S56" s="2" t="s">
        <v>13</v>
      </c>
    </row>
    <row r="57" spans="1:19" x14ac:dyDescent="0.2">
      <c r="A57" s="1" t="s">
        <v>126</v>
      </c>
      <c r="B57" s="2" t="s">
        <v>127</v>
      </c>
      <c r="C57" s="7">
        <v>31172</v>
      </c>
      <c r="D57" s="2" t="s">
        <v>2</v>
      </c>
      <c r="E57" s="2" t="s">
        <v>161</v>
      </c>
      <c r="F57" s="2" t="s">
        <v>35</v>
      </c>
      <c r="G57" s="7">
        <v>45758</v>
      </c>
      <c r="H57" s="7">
        <v>45758</v>
      </c>
      <c r="I57" s="11" t="s">
        <v>165</v>
      </c>
      <c r="J57" s="13" t="str">
        <f t="shared" si="1"/>
        <v>No</v>
      </c>
      <c r="K57" s="2" t="s">
        <v>17</v>
      </c>
      <c r="L57" s="2">
        <f>--(Table1[[#This Row],[status]]="No-Show")</f>
        <v>1</v>
      </c>
      <c r="M57" s="2" t="s">
        <v>11</v>
      </c>
      <c r="N57" s="2">
        <v>45</v>
      </c>
      <c r="O57" s="2" t="s">
        <v>162</v>
      </c>
      <c r="P57" s="2" t="s">
        <v>5</v>
      </c>
      <c r="Q57" s="2">
        <v>0</v>
      </c>
      <c r="R57" s="2">
        <v>2</v>
      </c>
      <c r="S57" s="2" t="s">
        <v>36</v>
      </c>
    </row>
    <row r="58" spans="1:19" x14ac:dyDescent="0.2">
      <c r="A58" s="1" t="s">
        <v>128</v>
      </c>
      <c r="B58" s="2" t="s">
        <v>129</v>
      </c>
      <c r="C58" s="7">
        <v>26248</v>
      </c>
      <c r="D58" s="2" t="s">
        <v>9</v>
      </c>
      <c r="E58" s="2" t="s">
        <v>158</v>
      </c>
      <c r="F58" s="2" t="s">
        <v>10</v>
      </c>
      <c r="G58" s="7">
        <v>45759</v>
      </c>
      <c r="H58" s="7">
        <v>45759</v>
      </c>
      <c r="I58" s="10">
        <v>0.45833333333333331</v>
      </c>
      <c r="J58" s="13" t="str">
        <f t="shared" si="1"/>
        <v>Yes</v>
      </c>
      <c r="K58" s="2" t="s">
        <v>3</v>
      </c>
      <c r="L58" s="2">
        <f>--(Table1[[#This Row],[status]]="No-Show")</f>
        <v>0</v>
      </c>
      <c r="M58" s="2" t="s">
        <v>4</v>
      </c>
      <c r="N58" s="2">
        <v>60</v>
      </c>
      <c r="O58" s="2" t="s">
        <v>159</v>
      </c>
      <c r="P58" s="2" t="s">
        <v>5</v>
      </c>
      <c r="Q58" s="2">
        <v>1</v>
      </c>
      <c r="R58" s="2">
        <v>9</v>
      </c>
      <c r="S58" s="2" t="s">
        <v>13</v>
      </c>
    </row>
    <row r="59" spans="1:19" x14ac:dyDescent="0.2">
      <c r="A59" s="1" t="s">
        <v>130</v>
      </c>
      <c r="B59" s="2" t="s">
        <v>131</v>
      </c>
      <c r="C59" s="7">
        <v>37289</v>
      </c>
      <c r="D59" s="2" t="s">
        <v>2</v>
      </c>
      <c r="E59" s="2" t="s">
        <v>163</v>
      </c>
      <c r="F59" s="2" t="s">
        <v>16</v>
      </c>
      <c r="G59" s="7">
        <v>45760</v>
      </c>
      <c r="H59" s="7">
        <v>45760</v>
      </c>
      <c r="I59" s="10">
        <v>0.59722222222222221</v>
      </c>
      <c r="J59" s="13" t="str">
        <f t="shared" si="1"/>
        <v>Yes</v>
      </c>
      <c r="K59" s="2" t="s">
        <v>3</v>
      </c>
      <c r="L59" s="2">
        <f>--(Table1[[#This Row],[status]]="No-Show")</f>
        <v>0</v>
      </c>
      <c r="M59" s="2" t="s">
        <v>11</v>
      </c>
      <c r="N59" s="2">
        <v>30</v>
      </c>
      <c r="O59" s="2" t="s">
        <v>160</v>
      </c>
      <c r="P59" s="2" t="s">
        <v>5</v>
      </c>
      <c r="Q59" s="2">
        <v>0</v>
      </c>
      <c r="R59" s="2">
        <v>1</v>
      </c>
      <c r="S59" s="2" t="s">
        <v>6</v>
      </c>
    </row>
    <row r="60" spans="1:19" x14ac:dyDescent="0.2">
      <c r="A60" s="1" t="s">
        <v>132</v>
      </c>
      <c r="B60" s="2" t="s">
        <v>133</v>
      </c>
      <c r="C60" s="7">
        <v>35222</v>
      </c>
      <c r="D60" s="2" t="s">
        <v>9</v>
      </c>
      <c r="E60" s="2" t="s">
        <v>155</v>
      </c>
      <c r="F60" s="2" t="s">
        <v>156</v>
      </c>
      <c r="G60" s="7">
        <v>45761</v>
      </c>
      <c r="H60" s="7">
        <v>45761</v>
      </c>
      <c r="I60" s="10">
        <v>0.40972222222222227</v>
      </c>
      <c r="J60" s="13" t="str">
        <f t="shared" si="1"/>
        <v>Yes</v>
      </c>
      <c r="K60" s="2" t="s">
        <v>3</v>
      </c>
      <c r="L60" s="2">
        <f>--(Table1[[#This Row],[status]]="No-Show")</f>
        <v>0</v>
      </c>
      <c r="M60" s="2" t="s">
        <v>11</v>
      </c>
      <c r="N60" s="2">
        <v>30</v>
      </c>
      <c r="O60" s="2" t="s">
        <v>157</v>
      </c>
      <c r="P60" s="2" t="s">
        <v>5</v>
      </c>
      <c r="Q60" s="2">
        <v>0</v>
      </c>
      <c r="R60" s="2">
        <v>3</v>
      </c>
      <c r="S60" s="2" t="s">
        <v>6</v>
      </c>
    </row>
    <row r="61" spans="1:19" x14ac:dyDescent="0.2">
      <c r="A61" s="1" t="s">
        <v>134</v>
      </c>
      <c r="B61" s="2" t="s">
        <v>135</v>
      </c>
      <c r="C61" s="7">
        <v>30536</v>
      </c>
      <c r="D61" s="2" t="s">
        <v>2</v>
      </c>
      <c r="E61" s="2" t="s">
        <v>161</v>
      </c>
      <c r="F61" s="2" t="s">
        <v>20</v>
      </c>
      <c r="G61" s="7">
        <v>45762</v>
      </c>
      <c r="H61" s="7">
        <v>45762</v>
      </c>
      <c r="I61" s="10">
        <v>0.44444444444444442</v>
      </c>
      <c r="J61" s="13" t="str">
        <f t="shared" si="1"/>
        <v>Yes</v>
      </c>
      <c r="K61" s="2" t="s">
        <v>3</v>
      </c>
      <c r="L61" s="2">
        <f>--(Table1[[#This Row],[status]]="No-Show")</f>
        <v>0</v>
      </c>
      <c r="M61" s="2" t="s">
        <v>4</v>
      </c>
      <c r="N61" s="2">
        <v>15</v>
      </c>
      <c r="O61" s="2" t="s">
        <v>162</v>
      </c>
      <c r="P61" s="2" t="s">
        <v>5</v>
      </c>
      <c r="Q61" s="2">
        <v>0</v>
      </c>
      <c r="R61" s="2">
        <v>2</v>
      </c>
      <c r="S61" s="2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CA72-C172-DB4E-A809-B7A41F3F7CE3}">
  <dimension ref="A3:D15"/>
  <sheetViews>
    <sheetView tabSelected="1" zoomScale="99" workbookViewId="0">
      <selection activeCell="A3" sqref="A3"/>
    </sheetView>
  </sheetViews>
  <sheetFormatPr baseColWidth="10" defaultRowHeight="16" x14ac:dyDescent="0.2"/>
  <cols>
    <col min="1" max="1" width="21.1640625" bestFit="1" customWidth="1"/>
    <col min="2" max="2" width="21.83203125" bestFit="1" customWidth="1"/>
    <col min="3" max="3" width="20.33203125" bestFit="1" customWidth="1"/>
    <col min="4" max="5" width="18.1640625" bestFit="1" customWidth="1"/>
    <col min="6" max="6" width="17.1640625" bestFit="1" customWidth="1"/>
    <col min="7" max="7" width="5.5" customWidth="1"/>
    <col min="8" max="8" width="26.6640625" bestFit="1" customWidth="1"/>
    <col min="9" max="9" width="17.5" bestFit="1" customWidth="1"/>
    <col min="10" max="10" width="22" bestFit="1" customWidth="1"/>
    <col min="11" max="61" width="8.33203125" bestFit="1" customWidth="1"/>
  </cols>
  <sheetData>
    <row r="3" spans="1:4" x14ac:dyDescent="0.2">
      <c r="A3" s="4" t="s">
        <v>153</v>
      </c>
      <c r="B3" t="s">
        <v>168</v>
      </c>
      <c r="C3" t="s">
        <v>169</v>
      </c>
      <c r="D3" t="s">
        <v>170</v>
      </c>
    </row>
    <row r="4" spans="1:4" x14ac:dyDescent="0.2">
      <c r="A4" s="5" t="s">
        <v>155</v>
      </c>
      <c r="B4" s="3">
        <v>18</v>
      </c>
      <c r="C4" s="14">
        <v>0.1111111111111111</v>
      </c>
      <c r="D4" s="3">
        <v>2</v>
      </c>
    </row>
    <row r="5" spans="1:4" x14ac:dyDescent="0.2">
      <c r="A5" s="15" t="s">
        <v>16</v>
      </c>
      <c r="B5" s="3">
        <v>3</v>
      </c>
      <c r="C5" s="14">
        <v>0.33333333333333331</v>
      </c>
      <c r="D5" s="3">
        <v>1</v>
      </c>
    </row>
    <row r="6" spans="1:4" x14ac:dyDescent="0.2">
      <c r="A6" s="15" t="s">
        <v>156</v>
      </c>
      <c r="B6" s="3">
        <v>15</v>
      </c>
      <c r="C6" s="14">
        <v>6.6666666666666666E-2</v>
      </c>
      <c r="D6" s="3">
        <v>1</v>
      </c>
    </row>
    <row r="7" spans="1:4" x14ac:dyDescent="0.2">
      <c r="A7" s="5" t="s">
        <v>158</v>
      </c>
      <c r="B7" s="3">
        <v>15</v>
      </c>
      <c r="C7" s="14">
        <v>0.13333333333333333</v>
      </c>
      <c r="D7" s="3">
        <v>2</v>
      </c>
    </row>
    <row r="8" spans="1:4" x14ac:dyDescent="0.2">
      <c r="A8" s="15" t="s">
        <v>10</v>
      </c>
      <c r="B8" s="3">
        <v>15</v>
      </c>
      <c r="C8" s="14">
        <v>0.13333333333333333</v>
      </c>
      <c r="D8" s="3">
        <v>2</v>
      </c>
    </row>
    <row r="9" spans="1:4" x14ac:dyDescent="0.2">
      <c r="A9" s="5" t="s">
        <v>161</v>
      </c>
      <c r="B9" s="3">
        <v>14</v>
      </c>
      <c r="C9" s="14">
        <v>0.21428571428571427</v>
      </c>
      <c r="D9" s="3">
        <v>3</v>
      </c>
    </row>
    <row r="10" spans="1:4" x14ac:dyDescent="0.2">
      <c r="A10" s="15" t="s">
        <v>20</v>
      </c>
      <c r="B10" s="3">
        <v>9</v>
      </c>
      <c r="C10" s="14">
        <v>0.1111111111111111</v>
      </c>
      <c r="D10" s="3">
        <v>1</v>
      </c>
    </row>
    <row r="11" spans="1:4" x14ac:dyDescent="0.2">
      <c r="A11" s="15" t="s">
        <v>35</v>
      </c>
      <c r="B11" s="3">
        <v>5</v>
      </c>
      <c r="C11" s="14">
        <v>0.4</v>
      </c>
      <c r="D11" s="3">
        <v>2</v>
      </c>
    </row>
    <row r="12" spans="1:4" x14ac:dyDescent="0.2">
      <c r="A12" s="5" t="s">
        <v>163</v>
      </c>
      <c r="B12" s="3">
        <v>13</v>
      </c>
      <c r="C12" s="14">
        <v>0.15384615384615385</v>
      </c>
      <c r="D12" s="3">
        <v>2</v>
      </c>
    </row>
    <row r="13" spans="1:4" x14ac:dyDescent="0.2">
      <c r="A13" s="15" t="s">
        <v>16</v>
      </c>
      <c r="B13" s="3">
        <v>11</v>
      </c>
      <c r="C13" s="14">
        <v>0.18181818181818182</v>
      </c>
      <c r="D13" s="3">
        <v>2</v>
      </c>
    </row>
    <row r="14" spans="1:4" x14ac:dyDescent="0.2">
      <c r="A14" s="15" t="s">
        <v>156</v>
      </c>
      <c r="B14" s="3">
        <v>2</v>
      </c>
      <c r="C14" s="14">
        <v>0</v>
      </c>
      <c r="D14" s="3">
        <v>0</v>
      </c>
    </row>
    <row r="15" spans="1:4" x14ac:dyDescent="0.2">
      <c r="A15" s="5" t="s">
        <v>154</v>
      </c>
      <c r="B15" s="3">
        <v>60</v>
      </c>
      <c r="C15" s="14">
        <v>0.15</v>
      </c>
      <c r="D15" s="3">
        <v>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CDC1-A54A-2B49-B634-AE4C0991FDBB}">
  <dimension ref="A3:B8"/>
  <sheetViews>
    <sheetView workbookViewId="0">
      <selection activeCell="F13" sqref="F13"/>
    </sheetView>
  </sheetViews>
  <sheetFormatPr baseColWidth="10" defaultRowHeight="16" x14ac:dyDescent="0.2"/>
  <cols>
    <col min="1" max="1" width="13" bestFit="1" customWidth="1"/>
    <col min="2" max="2" width="12.6640625" bestFit="1" customWidth="1"/>
  </cols>
  <sheetData>
    <row r="3" spans="1:2" x14ac:dyDescent="0.2">
      <c r="A3" s="4" t="s">
        <v>153</v>
      </c>
      <c r="B3" t="s">
        <v>152</v>
      </c>
    </row>
    <row r="4" spans="1:2" x14ac:dyDescent="0.2">
      <c r="A4" s="5" t="s">
        <v>155</v>
      </c>
      <c r="B4" s="3">
        <v>18</v>
      </c>
    </row>
    <row r="5" spans="1:2" x14ac:dyDescent="0.2">
      <c r="A5" s="5" t="s">
        <v>158</v>
      </c>
      <c r="B5" s="3">
        <v>15</v>
      </c>
    </row>
    <row r="6" spans="1:2" x14ac:dyDescent="0.2">
      <c r="A6" s="5" t="s">
        <v>161</v>
      </c>
      <c r="B6" s="3">
        <v>14</v>
      </c>
    </row>
    <row r="7" spans="1:2" x14ac:dyDescent="0.2">
      <c r="A7" s="5" t="s">
        <v>163</v>
      </c>
      <c r="B7" s="3">
        <v>13</v>
      </c>
    </row>
    <row r="8" spans="1:2" x14ac:dyDescent="0.2">
      <c r="A8" s="5" t="s">
        <v>154</v>
      </c>
      <c r="B8" s="3">
        <v>60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rateofnoshowsperclinic&amp;dept</vt:lpstr>
      <vt:lpstr>patients_per_clinic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2025-12-16T00:54:38Z</dcterms:created>
  <dcterms:modified xsi:type="dcterms:W3CDTF">2025-12-30T18:55:55Z</dcterms:modified>
</cp:coreProperties>
</file>